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PSU\research\2021\IDP\Supplementary Documents\"/>
    </mc:Choice>
  </mc:AlternateContent>
  <bookViews>
    <workbookView xWindow="0" yWindow="0" windowWidth="20490" windowHeight="7455"/>
  </bookViews>
  <sheets>
    <sheet name="Sheet1" sheetId="1" r:id="rId1"/>
    <sheet name="Sheet2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0" i="1" l="1"/>
  <c r="I27" i="1"/>
  <c r="I26" i="1"/>
  <c r="K48" i="1" l="1"/>
</calcChain>
</file>

<file path=xl/sharedStrings.xml><?xml version="1.0" encoding="utf-8"?>
<sst xmlns="http://schemas.openxmlformats.org/spreadsheetml/2006/main" count="79" uniqueCount="64">
  <si>
    <t xml:space="preserve">          DEPARTMENT OF SCIENCE AND TECHNOLOGY</t>
  </si>
  <si>
    <t>:</t>
  </si>
  <si>
    <t>Project Title</t>
  </si>
  <si>
    <t>Establishment of ParSU – MTL (Microbiology Testing Laboratory)</t>
  </si>
  <si>
    <t>Implementing Agency</t>
  </si>
  <si>
    <t>Partido State University</t>
  </si>
  <si>
    <t>Total Duration</t>
  </si>
  <si>
    <t>Project Leader</t>
  </si>
  <si>
    <t>Liezel DC. Atole</t>
  </si>
  <si>
    <t>Monitoring Agency</t>
  </si>
  <si>
    <t>DOST - PCIEERD</t>
  </si>
  <si>
    <t>Equipment Outlay</t>
  </si>
  <si>
    <t>Sub-Total for EO</t>
  </si>
  <si>
    <t>P</t>
  </si>
  <si>
    <t>GRAND TOTAL</t>
  </si>
  <si>
    <t xml:space="preserve"> </t>
  </si>
  <si>
    <t>DOST Form A</t>
  </si>
  <si>
    <t>Philippine Council for Industry, Energy and Emerging Technology</t>
  </si>
  <si>
    <t>Research and Development</t>
  </si>
  <si>
    <t>Project  Line-Item Budget</t>
  </si>
  <si>
    <t>Total Budget</t>
  </si>
  <si>
    <t>Certified Allotment Available:</t>
  </si>
  <si>
    <t>Approved:</t>
  </si>
  <si>
    <t>ISIDRO V. QUERUBIN, JR.</t>
  </si>
  <si>
    <t>DR. ENRICO C. PARINGIT</t>
  </si>
  <si>
    <t>Administrative Officer V - Budget</t>
  </si>
  <si>
    <t>Executive Director</t>
  </si>
  <si>
    <t>Fund Source</t>
  </si>
  <si>
    <t xml:space="preserve">PMT Approval </t>
  </si>
  <si>
    <t>GC Approval</t>
  </si>
  <si>
    <t>CY 2021 - 2023</t>
  </si>
  <si>
    <t>2021 - 2023 (Two years)</t>
  </si>
  <si>
    <t>2021 PCIEERD GIA</t>
  </si>
  <si>
    <t>390th PMT Meeting, 21 April 2021</t>
  </si>
  <si>
    <t>1 unit Analytical balance</t>
  </si>
  <si>
    <t xml:space="preserve">1 unit Laminar Hood/ Biosafety Cabinet Level II </t>
  </si>
  <si>
    <t xml:space="preserve">1 unit Laminar Hood/ Biosafety Cabinet Level III </t>
  </si>
  <si>
    <t xml:space="preserve">2 units Laboratory Refrigerator @P100,000.00 per unit </t>
  </si>
  <si>
    <t xml:space="preserve">1 unit Hot-plate with magnetic stirrer </t>
  </si>
  <si>
    <t xml:space="preserve">1 lot Desktop pH meter and water activity meter </t>
  </si>
  <si>
    <t xml:space="preserve">2 units Incubator @ P200,000.00 per unit </t>
  </si>
  <si>
    <t xml:space="preserve">1 unit Anaerobic Jar </t>
  </si>
  <si>
    <t xml:space="preserve">1 unit Refrigerated Microcentrifuge </t>
  </si>
  <si>
    <t xml:space="preserve">2 units Top loading Autoclave/ Sterilizer @ P400,000/unit </t>
  </si>
  <si>
    <t xml:space="preserve">1 unit Vortex mixer </t>
  </si>
  <si>
    <t xml:space="preserve">1 unit Incubator shaker </t>
  </si>
  <si>
    <t xml:space="preserve">1 lot UV-vis Spectrophotometer set with desktop and built-in UPS with AVR  </t>
  </si>
  <si>
    <t xml:space="preserve">1 lot Thermal cycler and accessories </t>
  </si>
  <si>
    <t xml:space="preserve">1 lot Gel documentation </t>
  </si>
  <si>
    <t xml:space="preserve">1 lot Mini- gel electrophoresis system </t>
  </si>
  <si>
    <t xml:space="preserve">1 set Eppendorf micropippettor set (single channel) </t>
  </si>
  <si>
    <t>DOST-PCIEERD</t>
  </si>
  <si>
    <t>ParSU</t>
  </si>
  <si>
    <t xml:space="preserve">Counterpart </t>
  </si>
  <si>
    <t>Maintenance and Operating Expenses</t>
  </si>
  <si>
    <r>
      <t>(Implementing Agency</t>
    </r>
    <r>
      <rPr>
        <b/>
        <i/>
        <sz val="11"/>
        <color indexed="8"/>
        <rFont val="Arial"/>
        <family val="2"/>
      </rPr>
      <t>)</t>
    </r>
  </si>
  <si>
    <t>Supplies and Materials Expenses (shall be itemized based on GAM)</t>
  </si>
  <si>
    <t>Printing and Publication Expenses</t>
  </si>
  <si>
    <t>Sub-Total for MOOE</t>
  </si>
  <si>
    <t>Laboratory Supplies/ Consumables</t>
  </si>
  <si>
    <t>Media and Reagents</t>
  </si>
  <si>
    <t>Direct Cost</t>
  </si>
  <si>
    <t>Repairs and Maintenace of Facilities</t>
  </si>
  <si>
    <t>Professional Services (Laboratroy Assitant Php14,720.00 x 12months)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</si>
</sst>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;[Red]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i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name val="Arial"/>
      <family val="2"/>
    </font>
    <font>
      <sz val="11"/>
      <color theme="4"/>
      <name val="Arial"/>
      <family val="2"/>
    </font>
    <font>
      <b/>
      <sz val="11"/>
      <color theme="4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i/>
      <sz val="11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"/>
      <name val="Arial"/>
      <family val="2"/>
    </font>
    <font>
      <b/>
      <u/>
      <sz val="11"/>
      <color theme="4"/>
      <name val="Arial"/>
      <family val="2"/>
    </font>
    <font>
      <b/>
      <u/>
      <sz val="11"/>
      <color theme="1"/>
      <name val="Arial"/>
      <family val="2"/>
    </font>
    <font>
      <b/>
      <i/>
      <sz val="11"/>
      <color indexed="8"/>
      <name val="Arial"/>
      <family val="2"/>
    </font>
    <font>
      <sz val="10"/>
      <color theme="1"/>
      <name val="Arial"/>
      <family val="2"/>
    </font>
    <font>
      <sz val="10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4" fontId="8" fillId="0" borderId="0"/>
  </cellStyleXfs>
  <cellXfs count="75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6" fillId="0" borderId="0" xfId="0" applyFont="1" applyFill="1" applyAlignment="1">
      <alignment horizontal="center"/>
    </xf>
    <xf numFmtId="43" fontId="9" fillId="0" borderId="0" xfId="1" applyFont="1" applyFill="1" applyAlignment="1">
      <alignment horizontal="right"/>
    </xf>
    <xf numFmtId="43" fontId="9" fillId="0" borderId="0" xfId="1" applyFont="1" applyFill="1"/>
    <xf numFmtId="0" fontId="6" fillId="0" borderId="0" xfId="0" applyFont="1" applyFill="1" applyAlignment="1">
      <alignment horizontal="right"/>
    </xf>
    <xf numFmtId="43" fontId="6" fillId="0" borderId="0" xfId="1" applyFont="1" applyFill="1" applyAlignment="1">
      <alignment horizontal="right"/>
    </xf>
    <xf numFmtId="43" fontId="6" fillId="0" borderId="0" xfId="1" applyFont="1" applyFill="1"/>
    <xf numFmtId="0" fontId="2" fillId="0" borderId="0" xfId="0" applyFont="1" applyFill="1"/>
    <xf numFmtId="0" fontId="11" fillId="0" borderId="0" xfId="0" applyFont="1"/>
    <xf numFmtId="43" fontId="2" fillId="0" borderId="0" xfId="1" applyFont="1" applyFill="1"/>
    <xf numFmtId="43" fontId="11" fillId="0" borderId="0" xfId="1" applyFont="1" applyFill="1"/>
    <xf numFmtId="43" fontId="3" fillId="0" borderId="1" xfId="1" applyFont="1" applyFill="1" applyBorder="1"/>
    <xf numFmtId="43" fontId="2" fillId="0" borderId="0" xfId="1" applyFont="1" applyFill="1" applyAlignment="1">
      <alignment horizontal="right"/>
    </xf>
    <xf numFmtId="0" fontId="2" fillId="0" borderId="0" xfId="0" applyFont="1" applyFill="1" applyAlignment="1">
      <alignment vertical="top"/>
    </xf>
    <xf numFmtId="43" fontId="9" fillId="0" borderId="0" xfId="1" applyFont="1" applyFill="1" applyAlignment="1"/>
    <xf numFmtId="43" fontId="6" fillId="0" borderId="0" xfId="1" applyFont="1" applyFill="1" applyAlignment="1"/>
    <xf numFmtId="0" fontId="2" fillId="0" borderId="0" xfId="0" applyFont="1" applyFill="1" applyAlignment="1">
      <alignment horizontal="right"/>
    </xf>
    <xf numFmtId="43" fontId="2" fillId="0" borderId="0" xfId="1" applyFont="1" applyFill="1" applyAlignment="1"/>
    <xf numFmtId="43" fontId="10" fillId="0" borderId="0" xfId="1" applyFont="1" applyFill="1"/>
    <xf numFmtId="43" fontId="10" fillId="0" borderId="0" xfId="1" applyFont="1" applyFill="1" applyAlignment="1">
      <alignment horizontal="right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/>
    </xf>
    <xf numFmtId="4" fontId="12" fillId="0" borderId="0" xfId="0" applyNumberFormat="1" applyFont="1"/>
    <xf numFmtId="4" fontId="12" fillId="0" borderId="0" xfId="0" applyNumberFormat="1" applyFont="1" applyAlignment="1">
      <alignment horizontal="right"/>
    </xf>
    <xf numFmtId="4" fontId="12" fillId="0" borderId="1" xfId="0" applyNumberFormat="1" applyFont="1" applyBorder="1"/>
    <xf numFmtId="0" fontId="12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6" fillId="0" borderId="0" xfId="0" applyFont="1" applyAlignment="1">
      <alignment horizontal="center"/>
    </xf>
    <xf numFmtId="15" fontId="13" fillId="0" borderId="0" xfId="0" applyNumberFormat="1" applyFont="1" applyAlignment="1">
      <alignment horizontal="left"/>
    </xf>
    <xf numFmtId="0" fontId="16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0" xfId="0" applyFont="1"/>
    <xf numFmtId="43" fontId="2" fillId="0" borderId="0" xfId="1" applyFont="1" applyFill="1" applyAlignment="1">
      <alignment horizontal="left"/>
    </xf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Alignment="1"/>
    <xf numFmtId="4" fontId="12" fillId="0" borderId="0" xfId="0" applyNumberFormat="1" applyFont="1" applyBorder="1"/>
    <xf numFmtId="0" fontId="11" fillId="0" borderId="0" xfId="0" applyFont="1" applyAlignment="1">
      <alignment horizontal="left"/>
    </xf>
    <xf numFmtId="0" fontId="2" fillId="0" borderId="0" xfId="0" applyFont="1" applyFill="1" applyAlignment="1">
      <alignment horizontal="center"/>
    </xf>
    <xf numFmtId="0" fontId="12" fillId="0" borderId="0" xfId="0" applyFont="1" applyAlignment="1"/>
    <xf numFmtId="0" fontId="12" fillId="0" borderId="0" xfId="0" applyFont="1"/>
    <xf numFmtId="0" fontId="17" fillId="0" borderId="0" xfId="0" applyFont="1" applyFill="1"/>
    <xf numFmtId="43" fontId="18" fillId="0" borderId="0" xfId="1" applyFont="1" applyFill="1" applyAlignment="1">
      <alignment horizontal="right"/>
    </xf>
    <xf numFmtId="0" fontId="6" fillId="0" borderId="0" xfId="0" applyFont="1" applyFill="1" applyBorder="1" applyAlignment="1">
      <alignment horizontal="center"/>
    </xf>
    <xf numFmtId="43" fontId="19" fillId="0" borderId="0" xfId="1" applyFont="1" applyFill="1" applyAlignment="1">
      <alignment horizontal="right"/>
    </xf>
    <xf numFmtId="43" fontId="4" fillId="0" borderId="0" xfId="1" applyFont="1" applyFill="1"/>
    <xf numFmtId="43" fontId="7" fillId="0" borderId="0" xfId="1" applyFont="1" applyFill="1"/>
    <xf numFmtId="43" fontId="6" fillId="0" borderId="0" xfId="1" quotePrefix="1" applyFont="1" applyFill="1" applyBorder="1" applyAlignment="1">
      <alignment horizontal="center"/>
    </xf>
    <xf numFmtId="164" fontId="21" fillId="0" borderId="0" xfId="3" applyFont="1" applyFill="1"/>
    <xf numFmtId="164" fontId="6" fillId="0" borderId="0" xfId="3" applyFont="1" applyFill="1"/>
    <xf numFmtId="164" fontId="22" fillId="0" borderId="0" xfId="3" applyFont="1" applyFill="1" applyBorder="1"/>
    <xf numFmtId="164" fontId="21" fillId="0" borderId="0" xfId="3" applyFont="1" applyFill="1" applyBorder="1"/>
    <xf numFmtId="0" fontId="2" fillId="0" borderId="0" xfId="0" applyFont="1" applyFill="1" applyAlignment="1">
      <alignment vertical="top" wrapText="1"/>
    </xf>
    <xf numFmtId="164" fontId="11" fillId="0" borderId="0" xfId="3" applyFont="1" applyFill="1" applyBorder="1"/>
    <xf numFmtId="4" fontId="2" fillId="0" borderId="0" xfId="0" applyNumberFormat="1" applyFont="1" applyFill="1"/>
    <xf numFmtId="43" fontId="2" fillId="0" borderId="0" xfId="1" applyFont="1" applyFill="1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2" fillId="0" borderId="0" xfId="0" applyFont="1" applyFill="1" applyAlignment="1">
      <alignment horizontal="left" vertical="top" wrapText="1"/>
    </xf>
    <xf numFmtId="0" fontId="12" fillId="0" borderId="0" xfId="0" applyFont="1"/>
    <xf numFmtId="0" fontId="14" fillId="0" borderId="0" xfId="0" applyFont="1"/>
  </cellXfs>
  <cellStyles count="4">
    <cellStyle name="Comma" xfId="1" builtinId="3"/>
    <cellStyle name="Normal" xfId="0" builtinId="0"/>
    <cellStyle name="Normal 2" xfId="2"/>
    <cellStyle name="Normal_LIB FORMAT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2"/>
  <sheetViews>
    <sheetView tabSelected="1" topLeftCell="A42" zoomScale="80" zoomScaleNormal="80" workbookViewId="0">
      <selection activeCell="A2" sqref="A2:L63"/>
    </sheetView>
  </sheetViews>
  <sheetFormatPr defaultColWidth="8.85546875" defaultRowHeight="16.5" x14ac:dyDescent="0.35"/>
  <cols>
    <col min="1" max="1" width="3.85546875" style="3" customWidth="1"/>
    <col min="2" max="2" width="2.7109375" style="3" customWidth="1"/>
    <col min="3" max="3" width="15.5703125" style="3" customWidth="1"/>
    <col min="4" max="4" width="1.85546875" style="5" customWidth="1"/>
    <col min="5" max="5" width="28.28515625" style="3" customWidth="1"/>
    <col min="6" max="6" width="3.28515625" style="3" customWidth="1"/>
    <col min="7" max="7" width="15.5703125" style="3" customWidth="1"/>
    <col min="8" max="8" width="3.140625" style="3" customWidth="1"/>
    <col min="9" max="9" width="15.5703125" style="3" customWidth="1"/>
    <col min="10" max="10" width="2.7109375" style="6" customWidth="1"/>
    <col min="11" max="11" width="21.28515625" style="7" customWidth="1"/>
    <col min="12" max="12" width="2.85546875" style="8" customWidth="1"/>
    <col min="13" max="13" width="22.7109375" style="9" customWidth="1"/>
    <col min="14" max="14" width="3" style="9" customWidth="1"/>
    <col min="15" max="15" width="23.28515625" style="10" bestFit="1" customWidth="1"/>
    <col min="16" max="17" width="16.28515625" style="1" customWidth="1"/>
    <col min="18" max="18" width="14.28515625" style="1" customWidth="1"/>
    <col min="19" max="19" width="14.7109375" style="1" bestFit="1" customWidth="1"/>
    <col min="20" max="20" width="13.7109375" style="1" customWidth="1"/>
    <col min="21" max="21" width="2.28515625" style="1" customWidth="1"/>
    <col min="22" max="23" width="13" style="2" customWidth="1"/>
    <col min="24" max="24" width="13.42578125" style="3" customWidth="1"/>
    <col min="25" max="25" width="14.140625" style="3" customWidth="1"/>
    <col min="26" max="26" width="13.5703125" style="3" customWidth="1"/>
    <col min="27" max="27" width="2.42578125" style="3" customWidth="1"/>
    <col min="28" max="28" width="15" style="4" bestFit="1" customWidth="1"/>
    <col min="29" max="29" width="4.5703125" style="4" customWidth="1"/>
    <col min="30" max="30" width="6.85546875" style="3" customWidth="1"/>
    <col min="31" max="31" width="14.28515625" style="3" bestFit="1" customWidth="1"/>
    <col min="32" max="32" width="12.5703125" style="3" bestFit="1" customWidth="1"/>
    <col min="33" max="33" width="17.28515625" style="3" customWidth="1"/>
    <col min="34" max="258" width="8.85546875" style="3"/>
    <col min="259" max="259" width="3.85546875" style="3" customWidth="1"/>
    <col min="260" max="260" width="2.7109375" style="3" customWidth="1"/>
    <col min="261" max="261" width="15.5703125" style="3" customWidth="1"/>
    <col min="262" max="262" width="1.85546875" style="3" customWidth="1"/>
    <col min="263" max="263" width="28.28515625" style="3" customWidth="1"/>
    <col min="264" max="264" width="3.28515625" style="3" customWidth="1"/>
    <col min="265" max="265" width="15.5703125" style="3" customWidth="1"/>
    <col min="266" max="266" width="3" style="3" customWidth="1"/>
    <col min="267" max="267" width="21.28515625" style="3" customWidth="1"/>
    <col min="268" max="268" width="2.85546875" style="3" customWidth="1"/>
    <col min="269" max="269" width="22.7109375" style="3" customWidth="1"/>
    <col min="270" max="270" width="3" style="3" customWidth="1"/>
    <col min="271" max="271" width="23.28515625" style="3" bestFit="1" customWidth="1"/>
    <col min="272" max="273" width="16.28515625" style="3" customWidth="1"/>
    <col min="274" max="274" width="14.28515625" style="3" customWidth="1"/>
    <col min="275" max="275" width="14.7109375" style="3" bestFit="1" customWidth="1"/>
    <col min="276" max="276" width="13.7109375" style="3" customWidth="1"/>
    <col min="277" max="277" width="2.28515625" style="3" customWidth="1"/>
    <col min="278" max="279" width="13" style="3" customWidth="1"/>
    <col min="280" max="280" width="13.42578125" style="3" customWidth="1"/>
    <col min="281" max="281" width="14.140625" style="3" customWidth="1"/>
    <col min="282" max="282" width="13.5703125" style="3" customWidth="1"/>
    <col min="283" max="283" width="2.42578125" style="3" customWidth="1"/>
    <col min="284" max="284" width="15" style="3" bestFit="1" customWidth="1"/>
    <col min="285" max="285" width="4.5703125" style="3" customWidth="1"/>
    <col min="286" max="286" width="6.85546875" style="3" customWidth="1"/>
    <col min="287" max="287" width="14.28515625" style="3" bestFit="1" customWidth="1"/>
    <col min="288" max="288" width="12.5703125" style="3" bestFit="1" customWidth="1"/>
    <col min="289" max="289" width="17.28515625" style="3" customWidth="1"/>
    <col min="290" max="514" width="8.85546875" style="3"/>
    <col min="515" max="515" width="3.85546875" style="3" customWidth="1"/>
    <col min="516" max="516" width="2.7109375" style="3" customWidth="1"/>
    <col min="517" max="517" width="15.5703125" style="3" customWidth="1"/>
    <col min="518" max="518" width="1.85546875" style="3" customWidth="1"/>
    <col min="519" max="519" width="28.28515625" style="3" customWidth="1"/>
    <col min="520" max="520" width="3.28515625" style="3" customWidth="1"/>
    <col min="521" max="521" width="15.5703125" style="3" customWidth="1"/>
    <col min="522" max="522" width="3" style="3" customWidth="1"/>
    <col min="523" max="523" width="21.28515625" style="3" customWidth="1"/>
    <col min="524" max="524" width="2.85546875" style="3" customWidth="1"/>
    <col min="525" max="525" width="22.7109375" style="3" customWidth="1"/>
    <col min="526" max="526" width="3" style="3" customWidth="1"/>
    <col min="527" max="527" width="23.28515625" style="3" bestFit="1" customWidth="1"/>
    <col min="528" max="529" width="16.28515625" style="3" customWidth="1"/>
    <col min="530" max="530" width="14.28515625" style="3" customWidth="1"/>
    <col min="531" max="531" width="14.7109375" style="3" bestFit="1" customWidth="1"/>
    <col min="532" max="532" width="13.7109375" style="3" customWidth="1"/>
    <col min="533" max="533" width="2.28515625" style="3" customWidth="1"/>
    <col min="534" max="535" width="13" style="3" customWidth="1"/>
    <col min="536" max="536" width="13.42578125" style="3" customWidth="1"/>
    <col min="537" max="537" width="14.140625" style="3" customWidth="1"/>
    <col min="538" max="538" width="13.5703125" style="3" customWidth="1"/>
    <col min="539" max="539" width="2.42578125" style="3" customWidth="1"/>
    <col min="540" max="540" width="15" style="3" bestFit="1" customWidth="1"/>
    <col min="541" max="541" width="4.5703125" style="3" customWidth="1"/>
    <col min="542" max="542" width="6.85546875" style="3" customWidth="1"/>
    <col min="543" max="543" width="14.28515625" style="3" bestFit="1" customWidth="1"/>
    <col min="544" max="544" width="12.5703125" style="3" bestFit="1" customWidth="1"/>
    <col min="545" max="545" width="17.28515625" style="3" customWidth="1"/>
    <col min="546" max="770" width="8.85546875" style="3"/>
    <col min="771" max="771" width="3.85546875" style="3" customWidth="1"/>
    <col min="772" max="772" width="2.7109375" style="3" customWidth="1"/>
    <col min="773" max="773" width="15.5703125" style="3" customWidth="1"/>
    <col min="774" max="774" width="1.85546875" style="3" customWidth="1"/>
    <col min="775" max="775" width="28.28515625" style="3" customWidth="1"/>
    <col min="776" max="776" width="3.28515625" style="3" customWidth="1"/>
    <col min="777" max="777" width="15.5703125" style="3" customWidth="1"/>
    <col min="778" max="778" width="3" style="3" customWidth="1"/>
    <col min="779" max="779" width="21.28515625" style="3" customWidth="1"/>
    <col min="780" max="780" width="2.85546875" style="3" customWidth="1"/>
    <col min="781" max="781" width="22.7109375" style="3" customWidth="1"/>
    <col min="782" max="782" width="3" style="3" customWidth="1"/>
    <col min="783" max="783" width="23.28515625" style="3" bestFit="1" customWidth="1"/>
    <col min="784" max="785" width="16.28515625" style="3" customWidth="1"/>
    <col min="786" max="786" width="14.28515625" style="3" customWidth="1"/>
    <col min="787" max="787" width="14.7109375" style="3" bestFit="1" customWidth="1"/>
    <col min="788" max="788" width="13.7109375" style="3" customWidth="1"/>
    <col min="789" max="789" width="2.28515625" style="3" customWidth="1"/>
    <col min="790" max="791" width="13" style="3" customWidth="1"/>
    <col min="792" max="792" width="13.42578125" style="3" customWidth="1"/>
    <col min="793" max="793" width="14.140625" style="3" customWidth="1"/>
    <col min="794" max="794" width="13.5703125" style="3" customWidth="1"/>
    <col min="795" max="795" width="2.42578125" style="3" customWidth="1"/>
    <col min="796" max="796" width="15" style="3" bestFit="1" customWidth="1"/>
    <col min="797" max="797" width="4.5703125" style="3" customWidth="1"/>
    <col min="798" max="798" width="6.85546875" style="3" customWidth="1"/>
    <col min="799" max="799" width="14.28515625" style="3" bestFit="1" customWidth="1"/>
    <col min="800" max="800" width="12.5703125" style="3" bestFit="1" customWidth="1"/>
    <col min="801" max="801" width="17.28515625" style="3" customWidth="1"/>
    <col min="802" max="1026" width="8.85546875" style="3"/>
    <col min="1027" max="1027" width="3.85546875" style="3" customWidth="1"/>
    <col min="1028" max="1028" width="2.7109375" style="3" customWidth="1"/>
    <col min="1029" max="1029" width="15.5703125" style="3" customWidth="1"/>
    <col min="1030" max="1030" width="1.85546875" style="3" customWidth="1"/>
    <col min="1031" max="1031" width="28.28515625" style="3" customWidth="1"/>
    <col min="1032" max="1032" width="3.28515625" style="3" customWidth="1"/>
    <col min="1033" max="1033" width="15.5703125" style="3" customWidth="1"/>
    <col min="1034" max="1034" width="3" style="3" customWidth="1"/>
    <col min="1035" max="1035" width="21.28515625" style="3" customWidth="1"/>
    <col min="1036" max="1036" width="2.85546875" style="3" customWidth="1"/>
    <col min="1037" max="1037" width="22.7109375" style="3" customWidth="1"/>
    <col min="1038" max="1038" width="3" style="3" customWidth="1"/>
    <col min="1039" max="1039" width="23.28515625" style="3" bestFit="1" customWidth="1"/>
    <col min="1040" max="1041" width="16.28515625" style="3" customWidth="1"/>
    <col min="1042" max="1042" width="14.28515625" style="3" customWidth="1"/>
    <col min="1043" max="1043" width="14.7109375" style="3" bestFit="1" customWidth="1"/>
    <col min="1044" max="1044" width="13.7109375" style="3" customWidth="1"/>
    <col min="1045" max="1045" width="2.28515625" style="3" customWidth="1"/>
    <col min="1046" max="1047" width="13" style="3" customWidth="1"/>
    <col min="1048" max="1048" width="13.42578125" style="3" customWidth="1"/>
    <col min="1049" max="1049" width="14.140625" style="3" customWidth="1"/>
    <col min="1050" max="1050" width="13.5703125" style="3" customWidth="1"/>
    <col min="1051" max="1051" width="2.42578125" style="3" customWidth="1"/>
    <col min="1052" max="1052" width="15" style="3" bestFit="1" customWidth="1"/>
    <col min="1053" max="1053" width="4.5703125" style="3" customWidth="1"/>
    <col min="1054" max="1054" width="6.85546875" style="3" customWidth="1"/>
    <col min="1055" max="1055" width="14.28515625" style="3" bestFit="1" customWidth="1"/>
    <col min="1056" max="1056" width="12.5703125" style="3" bestFit="1" customWidth="1"/>
    <col min="1057" max="1057" width="17.28515625" style="3" customWidth="1"/>
    <col min="1058" max="1282" width="8.85546875" style="3"/>
    <col min="1283" max="1283" width="3.85546875" style="3" customWidth="1"/>
    <col min="1284" max="1284" width="2.7109375" style="3" customWidth="1"/>
    <col min="1285" max="1285" width="15.5703125" style="3" customWidth="1"/>
    <col min="1286" max="1286" width="1.85546875" style="3" customWidth="1"/>
    <col min="1287" max="1287" width="28.28515625" style="3" customWidth="1"/>
    <col min="1288" max="1288" width="3.28515625" style="3" customWidth="1"/>
    <col min="1289" max="1289" width="15.5703125" style="3" customWidth="1"/>
    <col min="1290" max="1290" width="3" style="3" customWidth="1"/>
    <col min="1291" max="1291" width="21.28515625" style="3" customWidth="1"/>
    <col min="1292" max="1292" width="2.85546875" style="3" customWidth="1"/>
    <col min="1293" max="1293" width="22.7109375" style="3" customWidth="1"/>
    <col min="1294" max="1294" width="3" style="3" customWidth="1"/>
    <col min="1295" max="1295" width="23.28515625" style="3" bestFit="1" customWidth="1"/>
    <col min="1296" max="1297" width="16.28515625" style="3" customWidth="1"/>
    <col min="1298" max="1298" width="14.28515625" style="3" customWidth="1"/>
    <col min="1299" max="1299" width="14.7109375" style="3" bestFit="1" customWidth="1"/>
    <col min="1300" max="1300" width="13.7109375" style="3" customWidth="1"/>
    <col min="1301" max="1301" width="2.28515625" style="3" customWidth="1"/>
    <col min="1302" max="1303" width="13" style="3" customWidth="1"/>
    <col min="1304" max="1304" width="13.42578125" style="3" customWidth="1"/>
    <col min="1305" max="1305" width="14.140625" style="3" customWidth="1"/>
    <col min="1306" max="1306" width="13.5703125" style="3" customWidth="1"/>
    <col min="1307" max="1307" width="2.42578125" style="3" customWidth="1"/>
    <col min="1308" max="1308" width="15" style="3" bestFit="1" customWidth="1"/>
    <col min="1309" max="1309" width="4.5703125" style="3" customWidth="1"/>
    <col min="1310" max="1310" width="6.85546875" style="3" customWidth="1"/>
    <col min="1311" max="1311" width="14.28515625" style="3" bestFit="1" customWidth="1"/>
    <col min="1312" max="1312" width="12.5703125" style="3" bestFit="1" customWidth="1"/>
    <col min="1313" max="1313" width="17.28515625" style="3" customWidth="1"/>
    <col min="1314" max="1538" width="8.85546875" style="3"/>
    <col min="1539" max="1539" width="3.85546875" style="3" customWidth="1"/>
    <col min="1540" max="1540" width="2.7109375" style="3" customWidth="1"/>
    <col min="1541" max="1541" width="15.5703125" style="3" customWidth="1"/>
    <col min="1542" max="1542" width="1.85546875" style="3" customWidth="1"/>
    <col min="1543" max="1543" width="28.28515625" style="3" customWidth="1"/>
    <col min="1544" max="1544" width="3.28515625" style="3" customWidth="1"/>
    <col min="1545" max="1545" width="15.5703125" style="3" customWidth="1"/>
    <col min="1546" max="1546" width="3" style="3" customWidth="1"/>
    <col min="1547" max="1547" width="21.28515625" style="3" customWidth="1"/>
    <col min="1548" max="1548" width="2.85546875" style="3" customWidth="1"/>
    <col min="1549" max="1549" width="22.7109375" style="3" customWidth="1"/>
    <col min="1550" max="1550" width="3" style="3" customWidth="1"/>
    <col min="1551" max="1551" width="23.28515625" style="3" bestFit="1" customWidth="1"/>
    <col min="1552" max="1553" width="16.28515625" style="3" customWidth="1"/>
    <col min="1554" max="1554" width="14.28515625" style="3" customWidth="1"/>
    <col min="1555" max="1555" width="14.7109375" style="3" bestFit="1" customWidth="1"/>
    <col min="1556" max="1556" width="13.7109375" style="3" customWidth="1"/>
    <col min="1557" max="1557" width="2.28515625" style="3" customWidth="1"/>
    <col min="1558" max="1559" width="13" style="3" customWidth="1"/>
    <col min="1560" max="1560" width="13.42578125" style="3" customWidth="1"/>
    <col min="1561" max="1561" width="14.140625" style="3" customWidth="1"/>
    <col min="1562" max="1562" width="13.5703125" style="3" customWidth="1"/>
    <col min="1563" max="1563" width="2.42578125" style="3" customWidth="1"/>
    <col min="1564" max="1564" width="15" style="3" bestFit="1" customWidth="1"/>
    <col min="1565" max="1565" width="4.5703125" style="3" customWidth="1"/>
    <col min="1566" max="1566" width="6.85546875" style="3" customWidth="1"/>
    <col min="1567" max="1567" width="14.28515625" style="3" bestFit="1" customWidth="1"/>
    <col min="1568" max="1568" width="12.5703125" style="3" bestFit="1" customWidth="1"/>
    <col min="1569" max="1569" width="17.28515625" style="3" customWidth="1"/>
    <col min="1570" max="1794" width="8.85546875" style="3"/>
    <col min="1795" max="1795" width="3.85546875" style="3" customWidth="1"/>
    <col min="1796" max="1796" width="2.7109375" style="3" customWidth="1"/>
    <col min="1797" max="1797" width="15.5703125" style="3" customWidth="1"/>
    <col min="1798" max="1798" width="1.85546875" style="3" customWidth="1"/>
    <col min="1799" max="1799" width="28.28515625" style="3" customWidth="1"/>
    <col min="1800" max="1800" width="3.28515625" style="3" customWidth="1"/>
    <col min="1801" max="1801" width="15.5703125" style="3" customWidth="1"/>
    <col min="1802" max="1802" width="3" style="3" customWidth="1"/>
    <col min="1803" max="1803" width="21.28515625" style="3" customWidth="1"/>
    <col min="1804" max="1804" width="2.85546875" style="3" customWidth="1"/>
    <col min="1805" max="1805" width="22.7109375" style="3" customWidth="1"/>
    <col min="1806" max="1806" width="3" style="3" customWidth="1"/>
    <col min="1807" max="1807" width="23.28515625" style="3" bestFit="1" customWidth="1"/>
    <col min="1808" max="1809" width="16.28515625" style="3" customWidth="1"/>
    <col min="1810" max="1810" width="14.28515625" style="3" customWidth="1"/>
    <col min="1811" max="1811" width="14.7109375" style="3" bestFit="1" customWidth="1"/>
    <col min="1812" max="1812" width="13.7109375" style="3" customWidth="1"/>
    <col min="1813" max="1813" width="2.28515625" style="3" customWidth="1"/>
    <col min="1814" max="1815" width="13" style="3" customWidth="1"/>
    <col min="1816" max="1816" width="13.42578125" style="3" customWidth="1"/>
    <col min="1817" max="1817" width="14.140625" style="3" customWidth="1"/>
    <col min="1818" max="1818" width="13.5703125" style="3" customWidth="1"/>
    <col min="1819" max="1819" width="2.42578125" style="3" customWidth="1"/>
    <col min="1820" max="1820" width="15" style="3" bestFit="1" customWidth="1"/>
    <col min="1821" max="1821" width="4.5703125" style="3" customWidth="1"/>
    <col min="1822" max="1822" width="6.85546875" style="3" customWidth="1"/>
    <col min="1823" max="1823" width="14.28515625" style="3" bestFit="1" customWidth="1"/>
    <col min="1824" max="1824" width="12.5703125" style="3" bestFit="1" customWidth="1"/>
    <col min="1825" max="1825" width="17.28515625" style="3" customWidth="1"/>
    <col min="1826" max="2050" width="8.85546875" style="3"/>
    <col min="2051" max="2051" width="3.85546875" style="3" customWidth="1"/>
    <col min="2052" max="2052" width="2.7109375" style="3" customWidth="1"/>
    <col min="2053" max="2053" width="15.5703125" style="3" customWidth="1"/>
    <col min="2054" max="2054" width="1.85546875" style="3" customWidth="1"/>
    <col min="2055" max="2055" width="28.28515625" style="3" customWidth="1"/>
    <col min="2056" max="2056" width="3.28515625" style="3" customWidth="1"/>
    <col min="2057" max="2057" width="15.5703125" style="3" customWidth="1"/>
    <col min="2058" max="2058" width="3" style="3" customWidth="1"/>
    <col min="2059" max="2059" width="21.28515625" style="3" customWidth="1"/>
    <col min="2060" max="2060" width="2.85546875" style="3" customWidth="1"/>
    <col min="2061" max="2061" width="22.7109375" style="3" customWidth="1"/>
    <col min="2062" max="2062" width="3" style="3" customWidth="1"/>
    <col min="2063" max="2063" width="23.28515625" style="3" bestFit="1" customWidth="1"/>
    <col min="2064" max="2065" width="16.28515625" style="3" customWidth="1"/>
    <col min="2066" max="2066" width="14.28515625" style="3" customWidth="1"/>
    <col min="2067" max="2067" width="14.7109375" style="3" bestFit="1" customWidth="1"/>
    <col min="2068" max="2068" width="13.7109375" style="3" customWidth="1"/>
    <col min="2069" max="2069" width="2.28515625" style="3" customWidth="1"/>
    <col min="2070" max="2071" width="13" style="3" customWidth="1"/>
    <col min="2072" max="2072" width="13.42578125" style="3" customWidth="1"/>
    <col min="2073" max="2073" width="14.140625" style="3" customWidth="1"/>
    <col min="2074" max="2074" width="13.5703125" style="3" customWidth="1"/>
    <col min="2075" max="2075" width="2.42578125" style="3" customWidth="1"/>
    <col min="2076" max="2076" width="15" style="3" bestFit="1" customWidth="1"/>
    <col min="2077" max="2077" width="4.5703125" style="3" customWidth="1"/>
    <col min="2078" max="2078" width="6.85546875" style="3" customWidth="1"/>
    <col min="2079" max="2079" width="14.28515625" style="3" bestFit="1" customWidth="1"/>
    <col min="2080" max="2080" width="12.5703125" style="3" bestFit="1" customWidth="1"/>
    <col min="2081" max="2081" width="17.28515625" style="3" customWidth="1"/>
    <col min="2082" max="2306" width="8.85546875" style="3"/>
    <col min="2307" max="2307" width="3.85546875" style="3" customWidth="1"/>
    <col min="2308" max="2308" width="2.7109375" style="3" customWidth="1"/>
    <col min="2309" max="2309" width="15.5703125" style="3" customWidth="1"/>
    <col min="2310" max="2310" width="1.85546875" style="3" customWidth="1"/>
    <col min="2311" max="2311" width="28.28515625" style="3" customWidth="1"/>
    <col min="2312" max="2312" width="3.28515625" style="3" customWidth="1"/>
    <col min="2313" max="2313" width="15.5703125" style="3" customWidth="1"/>
    <col min="2314" max="2314" width="3" style="3" customWidth="1"/>
    <col min="2315" max="2315" width="21.28515625" style="3" customWidth="1"/>
    <col min="2316" max="2316" width="2.85546875" style="3" customWidth="1"/>
    <col min="2317" max="2317" width="22.7109375" style="3" customWidth="1"/>
    <col min="2318" max="2318" width="3" style="3" customWidth="1"/>
    <col min="2319" max="2319" width="23.28515625" style="3" bestFit="1" customWidth="1"/>
    <col min="2320" max="2321" width="16.28515625" style="3" customWidth="1"/>
    <col min="2322" max="2322" width="14.28515625" style="3" customWidth="1"/>
    <col min="2323" max="2323" width="14.7109375" style="3" bestFit="1" customWidth="1"/>
    <col min="2324" max="2324" width="13.7109375" style="3" customWidth="1"/>
    <col min="2325" max="2325" width="2.28515625" style="3" customWidth="1"/>
    <col min="2326" max="2327" width="13" style="3" customWidth="1"/>
    <col min="2328" max="2328" width="13.42578125" style="3" customWidth="1"/>
    <col min="2329" max="2329" width="14.140625" style="3" customWidth="1"/>
    <col min="2330" max="2330" width="13.5703125" style="3" customWidth="1"/>
    <col min="2331" max="2331" width="2.42578125" style="3" customWidth="1"/>
    <col min="2332" max="2332" width="15" style="3" bestFit="1" customWidth="1"/>
    <col min="2333" max="2333" width="4.5703125" style="3" customWidth="1"/>
    <col min="2334" max="2334" width="6.85546875" style="3" customWidth="1"/>
    <col min="2335" max="2335" width="14.28515625" style="3" bestFit="1" customWidth="1"/>
    <col min="2336" max="2336" width="12.5703125" style="3" bestFit="1" customWidth="1"/>
    <col min="2337" max="2337" width="17.28515625" style="3" customWidth="1"/>
    <col min="2338" max="2562" width="8.85546875" style="3"/>
    <col min="2563" max="2563" width="3.85546875" style="3" customWidth="1"/>
    <col min="2564" max="2564" width="2.7109375" style="3" customWidth="1"/>
    <col min="2565" max="2565" width="15.5703125" style="3" customWidth="1"/>
    <col min="2566" max="2566" width="1.85546875" style="3" customWidth="1"/>
    <col min="2567" max="2567" width="28.28515625" style="3" customWidth="1"/>
    <col min="2568" max="2568" width="3.28515625" style="3" customWidth="1"/>
    <col min="2569" max="2569" width="15.5703125" style="3" customWidth="1"/>
    <col min="2570" max="2570" width="3" style="3" customWidth="1"/>
    <col min="2571" max="2571" width="21.28515625" style="3" customWidth="1"/>
    <col min="2572" max="2572" width="2.85546875" style="3" customWidth="1"/>
    <col min="2573" max="2573" width="22.7109375" style="3" customWidth="1"/>
    <col min="2574" max="2574" width="3" style="3" customWidth="1"/>
    <col min="2575" max="2575" width="23.28515625" style="3" bestFit="1" customWidth="1"/>
    <col min="2576" max="2577" width="16.28515625" style="3" customWidth="1"/>
    <col min="2578" max="2578" width="14.28515625" style="3" customWidth="1"/>
    <col min="2579" max="2579" width="14.7109375" style="3" bestFit="1" customWidth="1"/>
    <col min="2580" max="2580" width="13.7109375" style="3" customWidth="1"/>
    <col min="2581" max="2581" width="2.28515625" style="3" customWidth="1"/>
    <col min="2582" max="2583" width="13" style="3" customWidth="1"/>
    <col min="2584" max="2584" width="13.42578125" style="3" customWidth="1"/>
    <col min="2585" max="2585" width="14.140625" style="3" customWidth="1"/>
    <col min="2586" max="2586" width="13.5703125" style="3" customWidth="1"/>
    <col min="2587" max="2587" width="2.42578125" style="3" customWidth="1"/>
    <col min="2588" max="2588" width="15" style="3" bestFit="1" customWidth="1"/>
    <col min="2589" max="2589" width="4.5703125" style="3" customWidth="1"/>
    <col min="2590" max="2590" width="6.85546875" style="3" customWidth="1"/>
    <col min="2591" max="2591" width="14.28515625" style="3" bestFit="1" customWidth="1"/>
    <col min="2592" max="2592" width="12.5703125" style="3" bestFit="1" customWidth="1"/>
    <col min="2593" max="2593" width="17.28515625" style="3" customWidth="1"/>
    <col min="2594" max="2818" width="8.85546875" style="3"/>
    <col min="2819" max="2819" width="3.85546875" style="3" customWidth="1"/>
    <col min="2820" max="2820" width="2.7109375" style="3" customWidth="1"/>
    <col min="2821" max="2821" width="15.5703125" style="3" customWidth="1"/>
    <col min="2822" max="2822" width="1.85546875" style="3" customWidth="1"/>
    <col min="2823" max="2823" width="28.28515625" style="3" customWidth="1"/>
    <col min="2824" max="2824" width="3.28515625" style="3" customWidth="1"/>
    <col min="2825" max="2825" width="15.5703125" style="3" customWidth="1"/>
    <col min="2826" max="2826" width="3" style="3" customWidth="1"/>
    <col min="2827" max="2827" width="21.28515625" style="3" customWidth="1"/>
    <col min="2828" max="2828" width="2.85546875" style="3" customWidth="1"/>
    <col min="2829" max="2829" width="22.7109375" style="3" customWidth="1"/>
    <col min="2830" max="2830" width="3" style="3" customWidth="1"/>
    <col min="2831" max="2831" width="23.28515625" style="3" bestFit="1" customWidth="1"/>
    <col min="2832" max="2833" width="16.28515625" style="3" customWidth="1"/>
    <col min="2834" max="2834" width="14.28515625" style="3" customWidth="1"/>
    <col min="2835" max="2835" width="14.7109375" style="3" bestFit="1" customWidth="1"/>
    <col min="2836" max="2836" width="13.7109375" style="3" customWidth="1"/>
    <col min="2837" max="2837" width="2.28515625" style="3" customWidth="1"/>
    <col min="2838" max="2839" width="13" style="3" customWidth="1"/>
    <col min="2840" max="2840" width="13.42578125" style="3" customWidth="1"/>
    <col min="2841" max="2841" width="14.140625" style="3" customWidth="1"/>
    <col min="2842" max="2842" width="13.5703125" style="3" customWidth="1"/>
    <col min="2843" max="2843" width="2.42578125" style="3" customWidth="1"/>
    <col min="2844" max="2844" width="15" style="3" bestFit="1" customWidth="1"/>
    <col min="2845" max="2845" width="4.5703125" style="3" customWidth="1"/>
    <col min="2846" max="2846" width="6.85546875" style="3" customWidth="1"/>
    <col min="2847" max="2847" width="14.28515625" style="3" bestFit="1" customWidth="1"/>
    <col min="2848" max="2848" width="12.5703125" style="3" bestFit="1" customWidth="1"/>
    <col min="2849" max="2849" width="17.28515625" style="3" customWidth="1"/>
    <col min="2850" max="3074" width="8.85546875" style="3"/>
    <col min="3075" max="3075" width="3.85546875" style="3" customWidth="1"/>
    <col min="3076" max="3076" width="2.7109375" style="3" customWidth="1"/>
    <col min="3077" max="3077" width="15.5703125" style="3" customWidth="1"/>
    <col min="3078" max="3078" width="1.85546875" style="3" customWidth="1"/>
    <col min="3079" max="3079" width="28.28515625" style="3" customWidth="1"/>
    <col min="3080" max="3080" width="3.28515625" style="3" customWidth="1"/>
    <col min="3081" max="3081" width="15.5703125" style="3" customWidth="1"/>
    <col min="3082" max="3082" width="3" style="3" customWidth="1"/>
    <col min="3083" max="3083" width="21.28515625" style="3" customWidth="1"/>
    <col min="3084" max="3084" width="2.85546875" style="3" customWidth="1"/>
    <col min="3085" max="3085" width="22.7109375" style="3" customWidth="1"/>
    <col min="3086" max="3086" width="3" style="3" customWidth="1"/>
    <col min="3087" max="3087" width="23.28515625" style="3" bestFit="1" customWidth="1"/>
    <col min="3088" max="3089" width="16.28515625" style="3" customWidth="1"/>
    <col min="3090" max="3090" width="14.28515625" style="3" customWidth="1"/>
    <col min="3091" max="3091" width="14.7109375" style="3" bestFit="1" customWidth="1"/>
    <col min="3092" max="3092" width="13.7109375" style="3" customWidth="1"/>
    <col min="3093" max="3093" width="2.28515625" style="3" customWidth="1"/>
    <col min="3094" max="3095" width="13" style="3" customWidth="1"/>
    <col min="3096" max="3096" width="13.42578125" style="3" customWidth="1"/>
    <col min="3097" max="3097" width="14.140625" style="3" customWidth="1"/>
    <col min="3098" max="3098" width="13.5703125" style="3" customWidth="1"/>
    <col min="3099" max="3099" width="2.42578125" style="3" customWidth="1"/>
    <col min="3100" max="3100" width="15" style="3" bestFit="1" customWidth="1"/>
    <col min="3101" max="3101" width="4.5703125" style="3" customWidth="1"/>
    <col min="3102" max="3102" width="6.85546875" style="3" customWidth="1"/>
    <col min="3103" max="3103" width="14.28515625" style="3" bestFit="1" customWidth="1"/>
    <col min="3104" max="3104" width="12.5703125" style="3" bestFit="1" customWidth="1"/>
    <col min="3105" max="3105" width="17.28515625" style="3" customWidth="1"/>
    <col min="3106" max="3330" width="8.85546875" style="3"/>
    <col min="3331" max="3331" width="3.85546875" style="3" customWidth="1"/>
    <col min="3332" max="3332" width="2.7109375" style="3" customWidth="1"/>
    <col min="3333" max="3333" width="15.5703125" style="3" customWidth="1"/>
    <col min="3334" max="3334" width="1.85546875" style="3" customWidth="1"/>
    <col min="3335" max="3335" width="28.28515625" style="3" customWidth="1"/>
    <col min="3336" max="3336" width="3.28515625" style="3" customWidth="1"/>
    <col min="3337" max="3337" width="15.5703125" style="3" customWidth="1"/>
    <col min="3338" max="3338" width="3" style="3" customWidth="1"/>
    <col min="3339" max="3339" width="21.28515625" style="3" customWidth="1"/>
    <col min="3340" max="3340" width="2.85546875" style="3" customWidth="1"/>
    <col min="3341" max="3341" width="22.7109375" style="3" customWidth="1"/>
    <col min="3342" max="3342" width="3" style="3" customWidth="1"/>
    <col min="3343" max="3343" width="23.28515625" style="3" bestFit="1" customWidth="1"/>
    <col min="3344" max="3345" width="16.28515625" style="3" customWidth="1"/>
    <col min="3346" max="3346" width="14.28515625" style="3" customWidth="1"/>
    <col min="3347" max="3347" width="14.7109375" style="3" bestFit="1" customWidth="1"/>
    <col min="3348" max="3348" width="13.7109375" style="3" customWidth="1"/>
    <col min="3349" max="3349" width="2.28515625" style="3" customWidth="1"/>
    <col min="3350" max="3351" width="13" style="3" customWidth="1"/>
    <col min="3352" max="3352" width="13.42578125" style="3" customWidth="1"/>
    <col min="3353" max="3353" width="14.140625" style="3" customWidth="1"/>
    <col min="3354" max="3354" width="13.5703125" style="3" customWidth="1"/>
    <col min="3355" max="3355" width="2.42578125" style="3" customWidth="1"/>
    <col min="3356" max="3356" width="15" style="3" bestFit="1" customWidth="1"/>
    <col min="3357" max="3357" width="4.5703125" style="3" customWidth="1"/>
    <col min="3358" max="3358" width="6.85546875" style="3" customWidth="1"/>
    <col min="3359" max="3359" width="14.28515625" style="3" bestFit="1" customWidth="1"/>
    <col min="3360" max="3360" width="12.5703125" style="3" bestFit="1" customWidth="1"/>
    <col min="3361" max="3361" width="17.28515625" style="3" customWidth="1"/>
    <col min="3362" max="3586" width="8.85546875" style="3"/>
    <col min="3587" max="3587" width="3.85546875" style="3" customWidth="1"/>
    <col min="3588" max="3588" width="2.7109375" style="3" customWidth="1"/>
    <col min="3589" max="3589" width="15.5703125" style="3" customWidth="1"/>
    <col min="3590" max="3590" width="1.85546875" style="3" customWidth="1"/>
    <col min="3591" max="3591" width="28.28515625" style="3" customWidth="1"/>
    <col min="3592" max="3592" width="3.28515625" style="3" customWidth="1"/>
    <col min="3593" max="3593" width="15.5703125" style="3" customWidth="1"/>
    <col min="3594" max="3594" width="3" style="3" customWidth="1"/>
    <col min="3595" max="3595" width="21.28515625" style="3" customWidth="1"/>
    <col min="3596" max="3596" width="2.85546875" style="3" customWidth="1"/>
    <col min="3597" max="3597" width="22.7109375" style="3" customWidth="1"/>
    <col min="3598" max="3598" width="3" style="3" customWidth="1"/>
    <col min="3599" max="3599" width="23.28515625" style="3" bestFit="1" customWidth="1"/>
    <col min="3600" max="3601" width="16.28515625" style="3" customWidth="1"/>
    <col min="3602" max="3602" width="14.28515625" style="3" customWidth="1"/>
    <col min="3603" max="3603" width="14.7109375" style="3" bestFit="1" customWidth="1"/>
    <col min="3604" max="3604" width="13.7109375" style="3" customWidth="1"/>
    <col min="3605" max="3605" width="2.28515625" style="3" customWidth="1"/>
    <col min="3606" max="3607" width="13" style="3" customWidth="1"/>
    <col min="3608" max="3608" width="13.42578125" style="3" customWidth="1"/>
    <col min="3609" max="3609" width="14.140625" style="3" customWidth="1"/>
    <col min="3610" max="3610" width="13.5703125" style="3" customWidth="1"/>
    <col min="3611" max="3611" width="2.42578125" style="3" customWidth="1"/>
    <col min="3612" max="3612" width="15" style="3" bestFit="1" customWidth="1"/>
    <col min="3613" max="3613" width="4.5703125" style="3" customWidth="1"/>
    <col min="3614" max="3614" width="6.85546875" style="3" customWidth="1"/>
    <col min="3615" max="3615" width="14.28515625" style="3" bestFit="1" customWidth="1"/>
    <col min="3616" max="3616" width="12.5703125" style="3" bestFit="1" customWidth="1"/>
    <col min="3617" max="3617" width="17.28515625" style="3" customWidth="1"/>
    <col min="3618" max="3842" width="8.85546875" style="3"/>
    <col min="3843" max="3843" width="3.85546875" style="3" customWidth="1"/>
    <col min="3844" max="3844" width="2.7109375" style="3" customWidth="1"/>
    <col min="3845" max="3845" width="15.5703125" style="3" customWidth="1"/>
    <col min="3846" max="3846" width="1.85546875" style="3" customWidth="1"/>
    <col min="3847" max="3847" width="28.28515625" style="3" customWidth="1"/>
    <col min="3848" max="3848" width="3.28515625" style="3" customWidth="1"/>
    <col min="3849" max="3849" width="15.5703125" style="3" customWidth="1"/>
    <col min="3850" max="3850" width="3" style="3" customWidth="1"/>
    <col min="3851" max="3851" width="21.28515625" style="3" customWidth="1"/>
    <col min="3852" max="3852" width="2.85546875" style="3" customWidth="1"/>
    <col min="3853" max="3853" width="22.7109375" style="3" customWidth="1"/>
    <col min="3854" max="3854" width="3" style="3" customWidth="1"/>
    <col min="3855" max="3855" width="23.28515625" style="3" bestFit="1" customWidth="1"/>
    <col min="3856" max="3857" width="16.28515625" style="3" customWidth="1"/>
    <col min="3858" max="3858" width="14.28515625" style="3" customWidth="1"/>
    <col min="3859" max="3859" width="14.7109375" style="3" bestFit="1" customWidth="1"/>
    <col min="3860" max="3860" width="13.7109375" style="3" customWidth="1"/>
    <col min="3861" max="3861" width="2.28515625" style="3" customWidth="1"/>
    <col min="3862" max="3863" width="13" style="3" customWidth="1"/>
    <col min="3864" max="3864" width="13.42578125" style="3" customWidth="1"/>
    <col min="3865" max="3865" width="14.140625" style="3" customWidth="1"/>
    <col min="3866" max="3866" width="13.5703125" style="3" customWidth="1"/>
    <col min="3867" max="3867" width="2.42578125" style="3" customWidth="1"/>
    <col min="3868" max="3868" width="15" style="3" bestFit="1" customWidth="1"/>
    <col min="3869" max="3869" width="4.5703125" style="3" customWidth="1"/>
    <col min="3870" max="3870" width="6.85546875" style="3" customWidth="1"/>
    <col min="3871" max="3871" width="14.28515625" style="3" bestFit="1" customWidth="1"/>
    <col min="3872" max="3872" width="12.5703125" style="3" bestFit="1" customWidth="1"/>
    <col min="3873" max="3873" width="17.28515625" style="3" customWidth="1"/>
    <col min="3874" max="4098" width="8.85546875" style="3"/>
    <col min="4099" max="4099" width="3.85546875" style="3" customWidth="1"/>
    <col min="4100" max="4100" width="2.7109375" style="3" customWidth="1"/>
    <col min="4101" max="4101" width="15.5703125" style="3" customWidth="1"/>
    <col min="4102" max="4102" width="1.85546875" style="3" customWidth="1"/>
    <col min="4103" max="4103" width="28.28515625" style="3" customWidth="1"/>
    <col min="4104" max="4104" width="3.28515625" style="3" customWidth="1"/>
    <col min="4105" max="4105" width="15.5703125" style="3" customWidth="1"/>
    <col min="4106" max="4106" width="3" style="3" customWidth="1"/>
    <col min="4107" max="4107" width="21.28515625" style="3" customWidth="1"/>
    <col min="4108" max="4108" width="2.85546875" style="3" customWidth="1"/>
    <col min="4109" max="4109" width="22.7109375" style="3" customWidth="1"/>
    <col min="4110" max="4110" width="3" style="3" customWidth="1"/>
    <col min="4111" max="4111" width="23.28515625" style="3" bestFit="1" customWidth="1"/>
    <col min="4112" max="4113" width="16.28515625" style="3" customWidth="1"/>
    <col min="4114" max="4114" width="14.28515625" style="3" customWidth="1"/>
    <col min="4115" max="4115" width="14.7109375" style="3" bestFit="1" customWidth="1"/>
    <col min="4116" max="4116" width="13.7109375" style="3" customWidth="1"/>
    <col min="4117" max="4117" width="2.28515625" style="3" customWidth="1"/>
    <col min="4118" max="4119" width="13" style="3" customWidth="1"/>
    <col min="4120" max="4120" width="13.42578125" style="3" customWidth="1"/>
    <col min="4121" max="4121" width="14.140625" style="3" customWidth="1"/>
    <col min="4122" max="4122" width="13.5703125" style="3" customWidth="1"/>
    <col min="4123" max="4123" width="2.42578125" style="3" customWidth="1"/>
    <col min="4124" max="4124" width="15" style="3" bestFit="1" customWidth="1"/>
    <col min="4125" max="4125" width="4.5703125" style="3" customWidth="1"/>
    <col min="4126" max="4126" width="6.85546875" style="3" customWidth="1"/>
    <col min="4127" max="4127" width="14.28515625" style="3" bestFit="1" customWidth="1"/>
    <col min="4128" max="4128" width="12.5703125" style="3" bestFit="1" customWidth="1"/>
    <col min="4129" max="4129" width="17.28515625" style="3" customWidth="1"/>
    <col min="4130" max="4354" width="8.85546875" style="3"/>
    <col min="4355" max="4355" width="3.85546875" style="3" customWidth="1"/>
    <col min="4356" max="4356" width="2.7109375" style="3" customWidth="1"/>
    <col min="4357" max="4357" width="15.5703125" style="3" customWidth="1"/>
    <col min="4358" max="4358" width="1.85546875" style="3" customWidth="1"/>
    <col min="4359" max="4359" width="28.28515625" style="3" customWidth="1"/>
    <col min="4360" max="4360" width="3.28515625" style="3" customWidth="1"/>
    <col min="4361" max="4361" width="15.5703125" style="3" customWidth="1"/>
    <col min="4362" max="4362" width="3" style="3" customWidth="1"/>
    <col min="4363" max="4363" width="21.28515625" style="3" customWidth="1"/>
    <col min="4364" max="4364" width="2.85546875" style="3" customWidth="1"/>
    <col min="4365" max="4365" width="22.7109375" style="3" customWidth="1"/>
    <col min="4366" max="4366" width="3" style="3" customWidth="1"/>
    <col min="4367" max="4367" width="23.28515625" style="3" bestFit="1" customWidth="1"/>
    <col min="4368" max="4369" width="16.28515625" style="3" customWidth="1"/>
    <col min="4370" max="4370" width="14.28515625" style="3" customWidth="1"/>
    <col min="4371" max="4371" width="14.7109375" style="3" bestFit="1" customWidth="1"/>
    <col min="4372" max="4372" width="13.7109375" style="3" customWidth="1"/>
    <col min="4373" max="4373" width="2.28515625" style="3" customWidth="1"/>
    <col min="4374" max="4375" width="13" style="3" customWidth="1"/>
    <col min="4376" max="4376" width="13.42578125" style="3" customWidth="1"/>
    <col min="4377" max="4377" width="14.140625" style="3" customWidth="1"/>
    <col min="4378" max="4378" width="13.5703125" style="3" customWidth="1"/>
    <col min="4379" max="4379" width="2.42578125" style="3" customWidth="1"/>
    <col min="4380" max="4380" width="15" style="3" bestFit="1" customWidth="1"/>
    <col min="4381" max="4381" width="4.5703125" style="3" customWidth="1"/>
    <col min="4382" max="4382" width="6.85546875" style="3" customWidth="1"/>
    <col min="4383" max="4383" width="14.28515625" style="3" bestFit="1" customWidth="1"/>
    <col min="4384" max="4384" width="12.5703125" style="3" bestFit="1" customWidth="1"/>
    <col min="4385" max="4385" width="17.28515625" style="3" customWidth="1"/>
    <col min="4386" max="4610" width="8.85546875" style="3"/>
    <col min="4611" max="4611" width="3.85546875" style="3" customWidth="1"/>
    <col min="4612" max="4612" width="2.7109375" style="3" customWidth="1"/>
    <col min="4613" max="4613" width="15.5703125" style="3" customWidth="1"/>
    <col min="4614" max="4614" width="1.85546875" style="3" customWidth="1"/>
    <col min="4615" max="4615" width="28.28515625" style="3" customWidth="1"/>
    <col min="4616" max="4616" width="3.28515625" style="3" customWidth="1"/>
    <col min="4617" max="4617" width="15.5703125" style="3" customWidth="1"/>
    <col min="4618" max="4618" width="3" style="3" customWidth="1"/>
    <col min="4619" max="4619" width="21.28515625" style="3" customWidth="1"/>
    <col min="4620" max="4620" width="2.85546875" style="3" customWidth="1"/>
    <col min="4621" max="4621" width="22.7109375" style="3" customWidth="1"/>
    <col min="4622" max="4622" width="3" style="3" customWidth="1"/>
    <col min="4623" max="4623" width="23.28515625" style="3" bestFit="1" customWidth="1"/>
    <col min="4624" max="4625" width="16.28515625" style="3" customWidth="1"/>
    <col min="4626" max="4626" width="14.28515625" style="3" customWidth="1"/>
    <col min="4627" max="4627" width="14.7109375" style="3" bestFit="1" customWidth="1"/>
    <col min="4628" max="4628" width="13.7109375" style="3" customWidth="1"/>
    <col min="4629" max="4629" width="2.28515625" style="3" customWidth="1"/>
    <col min="4630" max="4631" width="13" style="3" customWidth="1"/>
    <col min="4632" max="4632" width="13.42578125" style="3" customWidth="1"/>
    <col min="4633" max="4633" width="14.140625" style="3" customWidth="1"/>
    <col min="4634" max="4634" width="13.5703125" style="3" customWidth="1"/>
    <col min="4635" max="4635" width="2.42578125" style="3" customWidth="1"/>
    <col min="4636" max="4636" width="15" style="3" bestFit="1" customWidth="1"/>
    <col min="4637" max="4637" width="4.5703125" style="3" customWidth="1"/>
    <col min="4638" max="4638" width="6.85546875" style="3" customWidth="1"/>
    <col min="4639" max="4639" width="14.28515625" style="3" bestFit="1" customWidth="1"/>
    <col min="4640" max="4640" width="12.5703125" style="3" bestFit="1" customWidth="1"/>
    <col min="4641" max="4641" width="17.28515625" style="3" customWidth="1"/>
    <col min="4642" max="4866" width="8.85546875" style="3"/>
    <col min="4867" max="4867" width="3.85546875" style="3" customWidth="1"/>
    <col min="4868" max="4868" width="2.7109375" style="3" customWidth="1"/>
    <col min="4869" max="4869" width="15.5703125" style="3" customWidth="1"/>
    <col min="4870" max="4870" width="1.85546875" style="3" customWidth="1"/>
    <col min="4871" max="4871" width="28.28515625" style="3" customWidth="1"/>
    <col min="4872" max="4872" width="3.28515625" style="3" customWidth="1"/>
    <col min="4873" max="4873" width="15.5703125" style="3" customWidth="1"/>
    <col min="4874" max="4874" width="3" style="3" customWidth="1"/>
    <col min="4875" max="4875" width="21.28515625" style="3" customWidth="1"/>
    <col min="4876" max="4876" width="2.85546875" style="3" customWidth="1"/>
    <col min="4877" max="4877" width="22.7109375" style="3" customWidth="1"/>
    <col min="4878" max="4878" width="3" style="3" customWidth="1"/>
    <col min="4879" max="4879" width="23.28515625" style="3" bestFit="1" customWidth="1"/>
    <col min="4880" max="4881" width="16.28515625" style="3" customWidth="1"/>
    <col min="4882" max="4882" width="14.28515625" style="3" customWidth="1"/>
    <col min="4883" max="4883" width="14.7109375" style="3" bestFit="1" customWidth="1"/>
    <col min="4884" max="4884" width="13.7109375" style="3" customWidth="1"/>
    <col min="4885" max="4885" width="2.28515625" style="3" customWidth="1"/>
    <col min="4886" max="4887" width="13" style="3" customWidth="1"/>
    <col min="4888" max="4888" width="13.42578125" style="3" customWidth="1"/>
    <col min="4889" max="4889" width="14.140625" style="3" customWidth="1"/>
    <col min="4890" max="4890" width="13.5703125" style="3" customWidth="1"/>
    <col min="4891" max="4891" width="2.42578125" style="3" customWidth="1"/>
    <col min="4892" max="4892" width="15" style="3" bestFit="1" customWidth="1"/>
    <col min="4893" max="4893" width="4.5703125" style="3" customWidth="1"/>
    <col min="4894" max="4894" width="6.85546875" style="3" customWidth="1"/>
    <col min="4895" max="4895" width="14.28515625" style="3" bestFit="1" customWidth="1"/>
    <col min="4896" max="4896" width="12.5703125" style="3" bestFit="1" customWidth="1"/>
    <col min="4897" max="4897" width="17.28515625" style="3" customWidth="1"/>
    <col min="4898" max="5122" width="8.85546875" style="3"/>
    <col min="5123" max="5123" width="3.85546875" style="3" customWidth="1"/>
    <col min="5124" max="5124" width="2.7109375" style="3" customWidth="1"/>
    <col min="5125" max="5125" width="15.5703125" style="3" customWidth="1"/>
    <col min="5126" max="5126" width="1.85546875" style="3" customWidth="1"/>
    <col min="5127" max="5127" width="28.28515625" style="3" customWidth="1"/>
    <col min="5128" max="5128" width="3.28515625" style="3" customWidth="1"/>
    <col min="5129" max="5129" width="15.5703125" style="3" customWidth="1"/>
    <col min="5130" max="5130" width="3" style="3" customWidth="1"/>
    <col min="5131" max="5131" width="21.28515625" style="3" customWidth="1"/>
    <col min="5132" max="5132" width="2.85546875" style="3" customWidth="1"/>
    <col min="5133" max="5133" width="22.7109375" style="3" customWidth="1"/>
    <col min="5134" max="5134" width="3" style="3" customWidth="1"/>
    <col min="5135" max="5135" width="23.28515625" style="3" bestFit="1" customWidth="1"/>
    <col min="5136" max="5137" width="16.28515625" style="3" customWidth="1"/>
    <col min="5138" max="5138" width="14.28515625" style="3" customWidth="1"/>
    <col min="5139" max="5139" width="14.7109375" style="3" bestFit="1" customWidth="1"/>
    <col min="5140" max="5140" width="13.7109375" style="3" customWidth="1"/>
    <col min="5141" max="5141" width="2.28515625" style="3" customWidth="1"/>
    <col min="5142" max="5143" width="13" style="3" customWidth="1"/>
    <col min="5144" max="5144" width="13.42578125" style="3" customWidth="1"/>
    <col min="5145" max="5145" width="14.140625" style="3" customWidth="1"/>
    <col min="5146" max="5146" width="13.5703125" style="3" customWidth="1"/>
    <col min="5147" max="5147" width="2.42578125" style="3" customWidth="1"/>
    <col min="5148" max="5148" width="15" style="3" bestFit="1" customWidth="1"/>
    <col min="5149" max="5149" width="4.5703125" style="3" customWidth="1"/>
    <col min="5150" max="5150" width="6.85546875" style="3" customWidth="1"/>
    <col min="5151" max="5151" width="14.28515625" style="3" bestFit="1" customWidth="1"/>
    <col min="5152" max="5152" width="12.5703125" style="3" bestFit="1" customWidth="1"/>
    <col min="5153" max="5153" width="17.28515625" style="3" customWidth="1"/>
    <col min="5154" max="5378" width="8.85546875" style="3"/>
    <col min="5379" max="5379" width="3.85546875" style="3" customWidth="1"/>
    <col min="5380" max="5380" width="2.7109375" style="3" customWidth="1"/>
    <col min="5381" max="5381" width="15.5703125" style="3" customWidth="1"/>
    <col min="5382" max="5382" width="1.85546875" style="3" customWidth="1"/>
    <col min="5383" max="5383" width="28.28515625" style="3" customWidth="1"/>
    <col min="5384" max="5384" width="3.28515625" style="3" customWidth="1"/>
    <col min="5385" max="5385" width="15.5703125" style="3" customWidth="1"/>
    <col min="5386" max="5386" width="3" style="3" customWidth="1"/>
    <col min="5387" max="5387" width="21.28515625" style="3" customWidth="1"/>
    <col min="5388" max="5388" width="2.85546875" style="3" customWidth="1"/>
    <col min="5389" max="5389" width="22.7109375" style="3" customWidth="1"/>
    <col min="5390" max="5390" width="3" style="3" customWidth="1"/>
    <col min="5391" max="5391" width="23.28515625" style="3" bestFit="1" customWidth="1"/>
    <col min="5392" max="5393" width="16.28515625" style="3" customWidth="1"/>
    <col min="5394" max="5394" width="14.28515625" style="3" customWidth="1"/>
    <col min="5395" max="5395" width="14.7109375" style="3" bestFit="1" customWidth="1"/>
    <col min="5396" max="5396" width="13.7109375" style="3" customWidth="1"/>
    <col min="5397" max="5397" width="2.28515625" style="3" customWidth="1"/>
    <col min="5398" max="5399" width="13" style="3" customWidth="1"/>
    <col min="5400" max="5400" width="13.42578125" style="3" customWidth="1"/>
    <col min="5401" max="5401" width="14.140625" style="3" customWidth="1"/>
    <col min="5402" max="5402" width="13.5703125" style="3" customWidth="1"/>
    <col min="5403" max="5403" width="2.42578125" style="3" customWidth="1"/>
    <col min="5404" max="5404" width="15" style="3" bestFit="1" customWidth="1"/>
    <col min="5405" max="5405" width="4.5703125" style="3" customWidth="1"/>
    <col min="5406" max="5406" width="6.85546875" style="3" customWidth="1"/>
    <col min="5407" max="5407" width="14.28515625" style="3" bestFit="1" customWidth="1"/>
    <col min="5408" max="5408" width="12.5703125" style="3" bestFit="1" customWidth="1"/>
    <col min="5409" max="5409" width="17.28515625" style="3" customWidth="1"/>
    <col min="5410" max="5634" width="8.85546875" style="3"/>
    <col min="5635" max="5635" width="3.85546875" style="3" customWidth="1"/>
    <col min="5636" max="5636" width="2.7109375" style="3" customWidth="1"/>
    <col min="5637" max="5637" width="15.5703125" style="3" customWidth="1"/>
    <col min="5638" max="5638" width="1.85546875" style="3" customWidth="1"/>
    <col min="5639" max="5639" width="28.28515625" style="3" customWidth="1"/>
    <col min="5640" max="5640" width="3.28515625" style="3" customWidth="1"/>
    <col min="5641" max="5641" width="15.5703125" style="3" customWidth="1"/>
    <col min="5642" max="5642" width="3" style="3" customWidth="1"/>
    <col min="5643" max="5643" width="21.28515625" style="3" customWidth="1"/>
    <col min="5644" max="5644" width="2.85546875" style="3" customWidth="1"/>
    <col min="5645" max="5645" width="22.7109375" style="3" customWidth="1"/>
    <col min="5646" max="5646" width="3" style="3" customWidth="1"/>
    <col min="5647" max="5647" width="23.28515625" style="3" bestFit="1" customWidth="1"/>
    <col min="5648" max="5649" width="16.28515625" style="3" customWidth="1"/>
    <col min="5650" max="5650" width="14.28515625" style="3" customWidth="1"/>
    <col min="5651" max="5651" width="14.7109375" style="3" bestFit="1" customWidth="1"/>
    <col min="5652" max="5652" width="13.7109375" style="3" customWidth="1"/>
    <col min="5653" max="5653" width="2.28515625" style="3" customWidth="1"/>
    <col min="5654" max="5655" width="13" style="3" customWidth="1"/>
    <col min="5656" max="5656" width="13.42578125" style="3" customWidth="1"/>
    <col min="5657" max="5657" width="14.140625" style="3" customWidth="1"/>
    <col min="5658" max="5658" width="13.5703125" style="3" customWidth="1"/>
    <col min="5659" max="5659" width="2.42578125" style="3" customWidth="1"/>
    <col min="5660" max="5660" width="15" style="3" bestFit="1" customWidth="1"/>
    <col min="5661" max="5661" width="4.5703125" style="3" customWidth="1"/>
    <col min="5662" max="5662" width="6.85546875" style="3" customWidth="1"/>
    <col min="5663" max="5663" width="14.28515625" style="3" bestFit="1" customWidth="1"/>
    <col min="5664" max="5664" width="12.5703125" style="3" bestFit="1" customWidth="1"/>
    <col min="5665" max="5665" width="17.28515625" style="3" customWidth="1"/>
    <col min="5666" max="5890" width="8.85546875" style="3"/>
    <col min="5891" max="5891" width="3.85546875" style="3" customWidth="1"/>
    <col min="5892" max="5892" width="2.7109375" style="3" customWidth="1"/>
    <col min="5893" max="5893" width="15.5703125" style="3" customWidth="1"/>
    <col min="5894" max="5894" width="1.85546875" style="3" customWidth="1"/>
    <col min="5895" max="5895" width="28.28515625" style="3" customWidth="1"/>
    <col min="5896" max="5896" width="3.28515625" style="3" customWidth="1"/>
    <col min="5897" max="5897" width="15.5703125" style="3" customWidth="1"/>
    <col min="5898" max="5898" width="3" style="3" customWidth="1"/>
    <col min="5899" max="5899" width="21.28515625" style="3" customWidth="1"/>
    <col min="5900" max="5900" width="2.85546875" style="3" customWidth="1"/>
    <col min="5901" max="5901" width="22.7109375" style="3" customWidth="1"/>
    <col min="5902" max="5902" width="3" style="3" customWidth="1"/>
    <col min="5903" max="5903" width="23.28515625" style="3" bestFit="1" customWidth="1"/>
    <col min="5904" max="5905" width="16.28515625" style="3" customWidth="1"/>
    <col min="5906" max="5906" width="14.28515625" style="3" customWidth="1"/>
    <col min="5907" max="5907" width="14.7109375" style="3" bestFit="1" customWidth="1"/>
    <col min="5908" max="5908" width="13.7109375" style="3" customWidth="1"/>
    <col min="5909" max="5909" width="2.28515625" style="3" customWidth="1"/>
    <col min="5910" max="5911" width="13" style="3" customWidth="1"/>
    <col min="5912" max="5912" width="13.42578125" style="3" customWidth="1"/>
    <col min="5913" max="5913" width="14.140625" style="3" customWidth="1"/>
    <col min="5914" max="5914" width="13.5703125" style="3" customWidth="1"/>
    <col min="5915" max="5915" width="2.42578125" style="3" customWidth="1"/>
    <col min="5916" max="5916" width="15" style="3" bestFit="1" customWidth="1"/>
    <col min="5917" max="5917" width="4.5703125" style="3" customWidth="1"/>
    <col min="5918" max="5918" width="6.85546875" style="3" customWidth="1"/>
    <col min="5919" max="5919" width="14.28515625" style="3" bestFit="1" customWidth="1"/>
    <col min="5920" max="5920" width="12.5703125" style="3" bestFit="1" customWidth="1"/>
    <col min="5921" max="5921" width="17.28515625" style="3" customWidth="1"/>
    <col min="5922" max="6146" width="8.85546875" style="3"/>
    <col min="6147" max="6147" width="3.85546875" style="3" customWidth="1"/>
    <col min="6148" max="6148" width="2.7109375" style="3" customWidth="1"/>
    <col min="6149" max="6149" width="15.5703125" style="3" customWidth="1"/>
    <col min="6150" max="6150" width="1.85546875" style="3" customWidth="1"/>
    <col min="6151" max="6151" width="28.28515625" style="3" customWidth="1"/>
    <col min="6152" max="6152" width="3.28515625" style="3" customWidth="1"/>
    <col min="6153" max="6153" width="15.5703125" style="3" customWidth="1"/>
    <col min="6154" max="6154" width="3" style="3" customWidth="1"/>
    <col min="6155" max="6155" width="21.28515625" style="3" customWidth="1"/>
    <col min="6156" max="6156" width="2.85546875" style="3" customWidth="1"/>
    <col min="6157" max="6157" width="22.7109375" style="3" customWidth="1"/>
    <col min="6158" max="6158" width="3" style="3" customWidth="1"/>
    <col min="6159" max="6159" width="23.28515625" style="3" bestFit="1" customWidth="1"/>
    <col min="6160" max="6161" width="16.28515625" style="3" customWidth="1"/>
    <col min="6162" max="6162" width="14.28515625" style="3" customWidth="1"/>
    <col min="6163" max="6163" width="14.7109375" style="3" bestFit="1" customWidth="1"/>
    <col min="6164" max="6164" width="13.7109375" style="3" customWidth="1"/>
    <col min="6165" max="6165" width="2.28515625" style="3" customWidth="1"/>
    <col min="6166" max="6167" width="13" style="3" customWidth="1"/>
    <col min="6168" max="6168" width="13.42578125" style="3" customWidth="1"/>
    <col min="6169" max="6169" width="14.140625" style="3" customWidth="1"/>
    <col min="6170" max="6170" width="13.5703125" style="3" customWidth="1"/>
    <col min="6171" max="6171" width="2.42578125" style="3" customWidth="1"/>
    <col min="6172" max="6172" width="15" style="3" bestFit="1" customWidth="1"/>
    <col min="6173" max="6173" width="4.5703125" style="3" customWidth="1"/>
    <col min="6174" max="6174" width="6.85546875" style="3" customWidth="1"/>
    <col min="6175" max="6175" width="14.28515625" style="3" bestFit="1" customWidth="1"/>
    <col min="6176" max="6176" width="12.5703125" style="3" bestFit="1" customWidth="1"/>
    <col min="6177" max="6177" width="17.28515625" style="3" customWidth="1"/>
    <col min="6178" max="6402" width="8.85546875" style="3"/>
    <col min="6403" max="6403" width="3.85546875" style="3" customWidth="1"/>
    <col min="6404" max="6404" width="2.7109375" style="3" customWidth="1"/>
    <col min="6405" max="6405" width="15.5703125" style="3" customWidth="1"/>
    <col min="6406" max="6406" width="1.85546875" style="3" customWidth="1"/>
    <col min="6407" max="6407" width="28.28515625" style="3" customWidth="1"/>
    <col min="6408" max="6408" width="3.28515625" style="3" customWidth="1"/>
    <col min="6409" max="6409" width="15.5703125" style="3" customWidth="1"/>
    <col min="6410" max="6410" width="3" style="3" customWidth="1"/>
    <col min="6411" max="6411" width="21.28515625" style="3" customWidth="1"/>
    <col min="6412" max="6412" width="2.85546875" style="3" customWidth="1"/>
    <col min="6413" max="6413" width="22.7109375" style="3" customWidth="1"/>
    <col min="6414" max="6414" width="3" style="3" customWidth="1"/>
    <col min="6415" max="6415" width="23.28515625" style="3" bestFit="1" customWidth="1"/>
    <col min="6416" max="6417" width="16.28515625" style="3" customWidth="1"/>
    <col min="6418" max="6418" width="14.28515625" style="3" customWidth="1"/>
    <col min="6419" max="6419" width="14.7109375" style="3" bestFit="1" customWidth="1"/>
    <col min="6420" max="6420" width="13.7109375" style="3" customWidth="1"/>
    <col min="6421" max="6421" width="2.28515625" style="3" customWidth="1"/>
    <col min="6422" max="6423" width="13" style="3" customWidth="1"/>
    <col min="6424" max="6424" width="13.42578125" style="3" customWidth="1"/>
    <col min="6425" max="6425" width="14.140625" style="3" customWidth="1"/>
    <col min="6426" max="6426" width="13.5703125" style="3" customWidth="1"/>
    <col min="6427" max="6427" width="2.42578125" style="3" customWidth="1"/>
    <col min="6428" max="6428" width="15" style="3" bestFit="1" customWidth="1"/>
    <col min="6429" max="6429" width="4.5703125" style="3" customWidth="1"/>
    <col min="6430" max="6430" width="6.85546875" style="3" customWidth="1"/>
    <col min="6431" max="6431" width="14.28515625" style="3" bestFit="1" customWidth="1"/>
    <col min="6432" max="6432" width="12.5703125" style="3" bestFit="1" customWidth="1"/>
    <col min="6433" max="6433" width="17.28515625" style="3" customWidth="1"/>
    <col min="6434" max="6658" width="8.85546875" style="3"/>
    <col min="6659" max="6659" width="3.85546875" style="3" customWidth="1"/>
    <col min="6660" max="6660" width="2.7109375" style="3" customWidth="1"/>
    <col min="6661" max="6661" width="15.5703125" style="3" customWidth="1"/>
    <col min="6662" max="6662" width="1.85546875" style="3" customWidth="1"/>
    <col min="6663" max="6663" width="28.28515625" style="3" customWidth="1"/>
    <col min="6664" max="6664" width="3.28515625" style="3" customWidth="1"/>
    <col min="6665" max="6665" width="15.5703125" style="3" customWidth="1"/>
    <col min="6666" max="6666" width="3" style="3" customWidth="1"/>
    <col min="6667" max="6667" width="21.28515625" style="3" customWidth="1"/>
    <col min="6668" max="6668" width="2.85546875" style="3" customWidth="1"/>
    <col min="6669" max="6669" width="22.7109375" style="3" customWidth="1"/>
    <col min="6670" max="6670" width="3" style="3" customWidth="1"/>
    <col min="6671" max="6671" width="23.28515625" style="3" bestFit="1" customWidth="1"/>
    <col min="6672" max="6673" width="16.28515625" style="3" customWidth="1"/>
    <col min="6674" max="6674" width="14.28515625" style="3" customWidth="1"/>
    <col min="6675" max="6675" width="14.7109375" style="3" bestFit="1" customWidth="1"/>
    <col min="6676" max="6676" width="13.7109375" style="3" customWidth="1"/>
    <col min="6677" max="6677" width="2.28515625" style="3" customWidth="1"/>
    <col min="6678" max="6679" width="13" style="3" customWidth="1"/>
    <col min="6680" max="6680" width="13.42578125" style="3" customWidth="1"/>
    <col min="6681" max="6681" width="14.140625" style="3" customWidth="1"/>
    <col min="6682" max="6682" width="13.5703125" style="3" customWidth="1"/>
    <col min="6683" max="6683" width="2.42578125" style="3" customWidth="1"/>
    <col min="6684" max="6684" width="15" style="3" bestFit="1" customWidth="1"/>
    <col min="6685" max="6685" width="4.5703125" style="3" customWidth="1"/>
    <col min="6686" max="6686" width="6.85546875" style="3" customWidth="1"/>
    <col min="6687" max="6687" width="14.28515625" style="3" bestFit="1" customWidth="1"/>
    <col min="6688" max="6688" width="12.5703125" style="3" bestFit="1" customWidth="1"/>
    <col min="6689" max="6689" width="17.28515625" style="3" customWidth="1"/>
    <col min="6690" max="6914" width="8.85546875" style="3"/>
    <col min="6915" max="6915" width="3.85546875" style="3" customWidth="1"/>
    <col min="6916" max="6916" width="2.7109375" style="3" customWidth="1"/>
    <col min="6917" max="6917" width="15.5703125" style="3" customWidth="1"/>
    <col min="6918" max="6918" width="1.85546875" style="3" customWidth="1"/>
    <col min="6919" max="6919" width="28.28515625" style="3" customWidth="1"/>
    <col min="6920" max="6920" width="3.28515625" style="3" customWidth="1"/>
    <col min="6921" max="6921" width="15.5703125" style="3" customWidth="1"/>
    <col min="6922" max="6922" width="3" style="3" customWidth="1"/>
    <col min="6923" max="6923" width="21.28515625" style="3" customWidth="1"/>
    <col min="6924" max="6924" width="2.85546875" style="3" customWidth="1"/>
    <col min="6925" max="6925" width="22.7109375" style="3" customWidth="1"/>
    <col min="6926" max="6926" width="3" style="3" customWidth="1"/>
    <col min="6927" max="6927" width="23.28515625" style="3" bestFit="1" customWidth="1"/>
    <col min="6928" max="6929" width="16.28515625" style="3" customWidth="1"/>
    <col min="6930" max="6930" width="14.28515625" style="3" customWidth="1"/>
    <col min="6931" max="6931" width="14.7109375" style="3" bestFit="1" customWidth="1"/>
    <col min="6932" max="6932" width="13.7109375" style="3" customWidth="1"/>
    <col min="6933" max="6933" width="2.28515625" style="3" customWidth="1"/>
    <col min="6934" max="6935" width="13" style="3" customWidth="1"/>
    <col min="6936" max="6936" width="13.42578125" style="3" customWidth="1"/>
    <col min="6937" max="6937" width="14.140625" style="3" customWidth="1"/>
    <col min="6938" max="6938" width="13.5703125" style="3" customWidth="1"/>
    <col min="6939" max="6939" width="2.42578125" style="3" customWidth="1"/>
    <col min="6940" max="6940" width="15" style="3" bestFit="1" customWidth="1"/>
    <col min="6941" max="6941" width="4.5703125" style="3" customWidth="1"/>
    <col min="6942" max="6942" width="6.85546875" style="3" customWidth="1"/>
    <col min="6943" max="6943" width="14.28515625" style="3" bestFit="1" customWidth="1"/>
    <col min="6944" max="6944" width="12.5703125" style="3" bestFit="1" customWidth="1"/>
    <col min="6945" max="6945" width="17.28515625" style="3" customWidth="1"/>
    <col min="6946" max="7170" width="8.85546875" style="3"/>
    <col min="7171" max="7171" width="3.85546875" style="3" customWidth="1"/>
    <col min="7172" max="7172" width="2.7109375" style="3" customWidth="1"/>
    <col min="7173" max="7173" width="15.5703125" style="3" customWidth="1"/>
    <col min="7174" max="7174" width="1.85546875" style="3" customWidth="1"/>
    <col min="7175" max="7175" width="28.28515625" style="3" customWidth="1"/>
    <col min="7176" max="7176" width="3.28515625" style="3" customWidth="1"/>
    <col min="7177" max="7177" width="15.5703125" style="3" customWidth="1"/>
    <col min="7178" max="7178" width="3" style="3" customWidth="1"/>
    <col min="7179" max="7179" width="21.28515625" style="3" customWidth="1"/>
    <col min="7180" max="7180" width="2.85546875" style="3" customWidth="1"/>
    <col min="7181" max="7181" width="22.7109375" style="3" customWidth="1"/>
    <col min="7182" max="7182" width="3" style="3" customWidth="1"/>
    <col min="7183" max="7183" width="23.28515625" style="3" bestFit="1" customWidth="1"/>
    <col min="7184" max="7185" width="16.28515625" style="3" customWidth="1"/>
    <col min="7186" max="7186" width="14.28515625" style="3" customWidth="1"/>
    <col min="7187" max="7187" width="14.7109375" style="3" bestFit="1" customWidth="1"/>
    <col min="7188" max="7188" width="13.7109375" style="3" customWidth="1"/>
    <col min="7189" max="7189" width="2.28515625" style="3" customWidth="1"/>
    <col min="7190" max="7191" width="13" style="3" customWidth="1"/>
    <col min="7192" max="7192" width="13.42578125" style="3" customWidth="1"/>
    <col min="7193" max="7193" width="14.140625" style="3" customWidth="1"/>
    <col min="7194" max="7194" width="13.5703125" style="3" customWidth="1"/>
    <col min="7195" max="7195" width="2.42578125" style="3" customWidth="1"/>
    <col min="7196" max="7196" width="15" style="3" bestFit="1" customWidth="1"/>
    <col min="7197" max="7197" width="4.5703125" style="3" customWidth="1"/>
    <col min="7198" max="7198" width="6.85546875" style="3" customWidth="1"/>
    <col min="7199" max="7199" width="14.28515625" style="3" bestFit="1" customWidth="1"/>
    <col min="7200" max="7200" width="12.5703125" style="3" bestFit="1" customWidth="1"/>
    <col min="7201" max="7201" width="17.28515625" style="3" customWidth="1"/>
    <col min="7202" max="7426" width="8.85546875" style="3"/>
    <col min="7427" max="7427" width="3.85546875" style="3" customWidth="1"/>
    <col min="7428" max="7428" width="2.7109375" style="3" customWidth="1"/>
    <col min="7429" max="7429" width="15.5703125" style="3" customWidth="1"/>
    <col min="7430" max="7430" width="1.85546875" style="3" customWidth="1"/>
    <col min="7431" max="7431" width="28.28515625" style="3" customWidth="1"/>
    <col min="7432" max="7432" width="3.28515625" style="3" customWidth="1"/>
    <col min="7433" max="7433" width="15.5703125" style="3" customWidth="1"/>
    <col min="7434" max="7434" width="3" style="3" customWidth="1"/>
    <col min="7435" max="7435" width="21.28515625" style="3" customWidth="1"/>
    <col min="7436" max="7436" width="2.85546875" style="3" customWidth="1"/>
    <col min="7437" max="7437" width="22.7109375" style="3" customWidth="1"/>
    <col min="7438" max="7438" width="3" style="3" customWidth="1"/>
    <col min="7439" max="7439" width="23.28515625" style="3" bestFit="1" customWidth="1"/>
    <col min="7440" max="7441" width="16.28515625" style="3" customWidth="1"/>
    <col min="7442" max="7442" width="14.28515625" style="3" customWidth="1"/>
    <col min="7443" max="7443" width="14.7109375" style="3" bestFit="1" customWidth="1"/>
    <col min="7444" max="7444" width="13.7109375" style="3" customWidth="1"/>
    <col min="7445" max="7445" width="2.28515625" style="3" customWidth="1"/>
    <col min="7446" max="7447" width="13" style="3" customWidth="1"/>
    <col min="7448" max="7448" width="13.42578125" style="3" customWidth="1"/>
    <col min="7449" max="7449" width="14.140625" style="3" customWidth="1"/>
    <col min="7450" max="7450" width="13.5703125" style="3" customWidth="1"/>
    <col min="7451" max="7451" width="2.42578125" style="3" customWidth="1"/>
    <col min="7452" max="7452" width="15" style="3" bestFit="1" customWidth="1"/>
    <col min="7453" max="7453" width="4.5703125" style="3" customWidth="1"/>
    <col min="7454" max="7454" width="6.85546875" style="3" customWidth="1"/>
    <col min="7455" max="7455" width="14.28515625" style="3" bestFit="1" customWidth="1"/>
    <col min="7456" max="7456" width="12.5703125" style="3" bestFit="1" customWidth="1"/>
    <col min="7457" max="7457" width="17.28515625" style="3" customWidth="1"/>
    <col min="7458" max="7682" width="8.85546875" style="3"/>
    <col min="7683" max="7683" width="3.85546875" style="3" customWidth="1"/>
    <col min="7684" max="7684" width="2.7109375" style="3" customWidth="1"/>
    <col min="7685" max="7685" width="15.5703125" style="3" customWidth="1"/>
    <col min="7686" max="7686" width="1.85546875" style="3" customWidth="1"/>
    <col min="7687" max="7687" width="28.28515625" style="3" customWidth="1"/>
    <col min="7688" max="7688" width="3.28515625" style="3" customWidth="1"/>
    <col min="7689" max="7689" width="15.5703125" style="3" customWidth="1"/>
    <col min="7690" max="7690" width="3" style="3" customWidth="1"/>
    <col min="7691" max="7691" width="21.28515625" style="3" customWidth="1"/>
    <col min="7692" max="7692" width="2.85546875" style="3" customWidth="1"/>
    <col min="7693" max="7693" width="22.7109375" style="3" customWidth="1"/>
    <col min="7694" max="7694" width="3" style="3" customWidth="1"/>
    <col min="7695" max="7695" width="23.28515625" style="3" bestFit="1" customWidth="1"/>
    <col min="7696" max="7697" width="16.28515625" style="3" customWidth="1"/>
    <col min="7698" max="7698" width="14.28515625" style="3" customWidth="1"/>
    <col min="7699" max="7699" width="14.7109375" style="3" bestFit="1" customWidth="1"/>
    <col min="7700" max="7700" width="13.7109375" style="3" customWidth="1"/>
    <col min="7701" max="7701" width="2.28515625" style="3" customWidth="1"/>
    <col min="7702" max="7703" width="13" style="3" customWidth="1"/>
    <col min="7704" max="7704" width="13.42578125" style="3" customWidth="1"/>
    <col min="7705" max="7705" width="14.140625" style="3" customWidth="1"/>
    <col min="7706" max="7706" width="13.5703125" style="3" customWidth="1"/>
    <col min="7707" max="7707" width="2.42578125" style="3" customWidth="1"/>
    <col min="7708" max="7708" width="15" style="3" bestFit="1" customWidth="1"/>
    <col min="7709" max="7709" width="4.5703125" style="3" customWidth="1"/>
    <col min="7710" max="7710" width="6.85546875" style="3" customWidth="1"/>
    <col min="7711" max="7711" width="14.28515625" style="3" bestFit="1" customWidth="1"/>
    <col min="7712" max="7712" width="12.5703125" style="3" bestFit="1" customWidth="1"/>
    <col min="7713" max="7713" width="17.28515625" style="3" customWidth="1"/>
    <col min="7714" max="7938" width="8.85546875" style="3"/>
    <col min="7939" max="7939" width="3.85546875" style="3" customWidth="1"/>
    <col min="7940" max="7940" width="2.7109375" style="3" customWidth="1"/>
    <col min="7941" max="7941" width="15.5703125" style="3" customWidth="1"/>
    <col min="7942" max="7942" width="1.85546875" style="3" customWidth="1"/>
    <col min="7943" max="7943" width="28.28515625" style="3" customWidth="1"/>
    <col min="7944" max="7944" width="3.28515625" style="3" customWidth="1"/>
    <col min="7945" max="7945" width="15.5703125" style="3" customWidth="1"/>
    <col min="7946" max="7946" width="3" style="3" customWidth="1"/>
    <col min="7947" max="7947" width="21.28515625" style="3" customWidth="1"/>
    <col min="7948" max="7948" width="2.85546875" style="3" customWidth="1"/>
    <col min="7949" max="7949" width="22.7109375" style="3" customWidth="1"/>
    <col min="7950" max="7950" width="3" style="3" customWidth="1"/>
    <col min="7951" max="7951" width="23.28515625" style="3" bestFit="1" customWidth="1"/>
    <col min="7952" max="7953" width="16.28515625" style="3" customWidth="1"/>
    <col min="7954" max="7954" width="14.28515625" style="3" customWidth="1"/>
    <col min="7955" max="7955" width="14.7109375" style="3" bestFit="1" customWidth="1"/>
    <col min="7956" max="7956" width="13.7109375" style="3" customWidth="1"/>
    <col min="7957" max="7957" width="2.28515625" style="3" customWidth="1"/>
    <col min="7958" max="7959" width="13" style="3" customWidth="1"/>
    <col min="7960" max="7960" width="13.42578125" style="3" customWidth="1"/>
    <col min="7961" max="7961" width="14.140625" style="3" customWidth="1"/>
    <col min="7962" max="7962" width="13.5703125" style="3" customWidth="1"/>
    <col min="7963" max="7963" width="2.42578125" style="3" customWidth="1"/>
    <col min="7964" max="7964" width="15" style="3" bestFit="1" customWidth="1"/>
    <col min="7965" max="7965" width="4.5703125" style="3" customWidth="1"/>
    <col min="7966" max="7966" width="6.85546875" style="3" customWidth="1"/>
    <col min="7967" max="7967" width="14.28515625" style="3" bestFit="1" customWidth="1"/>
    <col min="7968" max="7968" width="12.5703125" style="3" bestFit="1" customWidth="1"/>
    <col min="7969" max="7969" width="17.28515625" style="3" customWidth="1"/>
    <col min="7970" max="8194" width="8.85546875" style="3"/>
    <col min="8195" max="8195" width="3.85546875" style="3" customWidth="1"/>
    <col min="8196" max="8196" width="2.7109375" style="3" customWidth="1"/>
    <col min="8197" max="8197" width="15.5703125" style="3" customWidth="1"/>
    <col min="8198" max="8198" width="1.85546875" style="3" customWidth="1"/>
    <col min="8199" max="8199" width="28.28515625" style="3" customWidth="1"/>
    <col min="8200" max="8200" width="3.28515625" style="3" customWidth="1"/>
    <col min="8201" max="8201" width="15.5703125" style="3" customWidth="1"/>
    <col min="8202" max="8202" width="3" style="3" customWidth="1"/>
    <col min="8203" max="8203" width="21.28515625" style="3" customWidth="1"/>
    <col min="8204" max="8204" width="2.85546875" style="3" customWidth="1"/>
    <col min="8205" max="8205" width="22.7109375" style="3" customWidth="1"/>
    <col min="8206" max="8206" width="3" style="3" customWidth="1"/>
    <col min="8207" max="8207" width="23.28515625" style="3" bestFit="1" customWidth="1"/>
    <col min="8208" max="8209" width="16.28515625" style="3" customWidth="1"/>
    <col min="8210" max="8210" width="14.28515625" style="3" customWidth="1"/>
    <col min="8211" max="8211" width="14.7109375" style="3" bestFit="1" customWidth="1"/>
    <col min="8212" max="8212" width="13.7109375" style="3" customWidth="1"/>
    <col min="8213" max="8213" width="2.28515625" style="3" customWidth="1"/>
    <col min="8214" max="8215" width="13" style="3" customWidth="1"/>
    <col min="8216" max="8216" width="13.42578125" style="3" customWidth="1"/>
    <col min="8217" max="8217" width="14.140625" style="3" customWidth="1"/>
    <col min="8218" max="8218" width="13.5703125" style="3" customWidth="1"/>
    <col min="8219" max="8219" width="2.42578125" style="3" customWidth="1"/>
    <col min="8220" max="8220" width="15" style="3" bestFit="1" customWidth="1"/>
    <col min="8221" max="8221" width="4.5703125" style="3" customWidth="1"/>
    <col min="8222" max="8222" width="6.85546875" style="3" customWidth="1"/>
    <col min="8223" max="8223" width="14.28515625" style="3" bestFit="1" customWidth="1"/>
    <col min="8224" max="8224" width="12.5703125" style="3" bestFit="1" customWidth="1"/>
    <col min="8225" max="8225" width="17.28515625" style="3" customWidth="1"/>
    <col min="8226" max="8450" width="8.85546875" style="3"/>
    <col min="8451" max="8451" width="3.85546875" style="3" customWidth="1"/>
    <col min="8452" max="8452" width="2.7109375" style="3" customWidth="1"/>
    <col min="8453" max="8453" width="15.5703125" style="3" customWidth="1"/>
    <col min="8454" max="8454" width="1.85546875" style="3" customWidth="1"/>
    <col min="8455" max="8455" width="28.28515625" style="3" customWidth="1"/>
    <col min="8456" max="8456" width="3.28515625" style="3" customWidth="1"/>
    <col min="8457" max="8457" width="15.5703125" style="3" customWidth="1"/>
    <col min="8458" max="8458" width="3" style="3" customWidth="1"/>
    <col min="8459" max="8459" width="21.28515625" style="3" customWidth="1"/>
    <col min="8460" max="8460" width="2.85546875" style="3" customWidth="1"/>
    <col min="8461" max="8461" width="22.7109375" style="3" customWidth="1"/>
    <col min="8462" max="8462" width="3" style="3" customWidth="1"/>
    <col min="8463" max="8463" width="23.28515625" style="3" bestFit="1" customWidth="1"/>
    <col min="8464" max="8465" width="16.28515625" style="3" customWidth="1"/>
    <col min="8466" max="8466" width="14.28515625" style="3" customWidth="1"/>
    <col min="8467" max="8467" width="14.7109375" style="3" bestFit="1" customWidth="1"/>
    <col min="8468" max="8468" width="13.7109375" style="3" customWidth="1"/>
    <col min="8469" max="8469" width="2.28515625" style="3" customWidth="1"/>
    <col min="8470" max="8471" width="13" style="3" customWidth="1"/>
    <col min="8472" max="8472" width="13.42578125" style="3" customWidth="1"/>
    <col min="8473" max="8473" width="14.140625" style="3" customWidth="1"/>
    <col min="8474" max="8474" width="13.5703125" style="3" customWidth="1"/>
    <col min="8475" max="8475" width="2.42578125" style="3" customWidth="1"/>
    <col min="8476" max="8476" width="15" style="3" bestFit="1" customWidth="1"/>
    <col min="8477" max="8477" width="4.5703125" style="3" customWidth="1"/>
    <col min="8478" max="8478" width="6.85546875" style="3" customWidth="1"/>
    <col min="8479" max="8479" width="14.28515625" style="3" bestFit="1" customWidth="1"/>
    <col min="8480" max="8480" width="12.5703125" style="3" bestFit="1" customWidth="1"/>
    <col min="8481" max="8481" width="17.28515625" style="3" customWidth="1"/>
    <col min="8482" max="8706" width="8.85546875" style="3"/>
    <col min="8707" max="8707" width="3.85546875" style="3" customWidth="1"/>
    <col min="8708" max="8708" width="2.7109375" style="3" customWidth="1"/>
    <col min="8709" max="8709" width="15.5703125" style="3" customWidth="1"/>
    <col min="8710" max="8710" width="1.85546875" style="3" customWidth="1"/>
    <col min="8711" max="8711" width="28.28515625" style="3" customWidth="1"/>
    <col min="8712" max="8712" width="3.28515625" style="3" customWidth="1"/>
    <col min="8713" max="8713" width="15.5703125" style="3" customWidth="1"/>
    <col min="8714" max="8714" width="3" style="3" customWidth="1"/>
    <col min="8715" max="8715" width="21.28515625" style="3" customWidth="1"/>
    <col min="8716" max="8716" width="2.85546875" style="3" customWidth="1"/>
    <col min="8717" max="8717" width="22.7109375" style="3" customWidth="1"/>
    <col min="8718" max="8718" width="3" style="3" customWidth="1"/>
    <col min="8719" max="8719" width="23.28515625" style="3" bestFit="1" customWidth="1"/>
    <col min="8720" max="8721" width="16.28515625" style="3" customWidth="1"/>
    <col min="8722" max="8722" width="14.28515625" style="3" customWidth="1"/>
    <col min="8723" max="8723" width="14.7109375" style="3" bestFit="1" customWidth="1"/>
    <col min="8724" max="8724" width="13.7109375" style="3" customWidth="1"/>
    <col min="8725" max="8725" width="2.28515625" style="3" customWidth="1"/>
    <col min="8726" max="8727" width="13" style="3" customWidth="1"/>
    <col min="8728" max="8728" width="13.42578125" style="3" customWidth="1"/>
    <col min="8729" max="8729" width="14.140625" style="3" customWidth="1"/>
    <col min="8730" max="8730" width="13.5703125" style="3" customWidth="1"/>
    <col min="8731" max="8731" width="2.42578125" style="3" customWidth="1"/>
    <col min="8732" max="8732" width="15" style="3" bestFit="1" customWidth="1"/>
    <col min="8733" max="8733" width="4.5703125" style="3" customWidth="1"/>
    <col min="8734" max="8734" width="6.85546875" style="3" customWidth="1"/>
    <col min="8735" max="8735" width="14.28515625" style="3" bestFit="1" customWidth="1"/>
    <col min="8736" max="8736" width="12.5703125" style="3" bestFit="1" customWidth="1"/>
    <col min="8737" max="8737" width="17.28515625" style="3" customWidth="1"/>
    <col min="8738" max="8962" width="8.85546875" style="3"/>
    <col min="8963" max="8963" width="3.85546875" style="3" customWidth="1"/>
    <col min="8964" max="8964" width="2.7109375" style="3" customWidth="1"/>
    <col min="8965" max="8965" width="15.5703125" style="3" customWidth="1"/>
    <col min="8966" max="8966" width="1.85546875" style="3" customWidth="1"/>
    <col min="8967" max="8967" width="28.28515625" style="3" customWidth="1"/>
    <col min="8968" max="8968" width="3.28515625" style="3" customWidth="1"/>
    <col min="8969" max="8969" width="15.5703125" style="3" customWidth="1"/>
    <col min="8970" max="8970" width="3" style="3" customWidth="1"/>
    <col min="8971" max="8971" width="21.28515625" style="3" customWidth="1"/>
    <col min="8972" max="8972" width="2.85546875" style="3" customWidth="1"/>
    <col min="8973" max="8973" width="22.7109375" style="3" customWidth="1"/>
    <col min="8974" max="8974" width="3" style="3" customWidth="1"/>
    <col min="8975" max="8975" width="23.28515625" style="3" bestFit="1" customWidth="1"/>
    <col min="8976" max="8977" width="16.28515625" style="3" customWidth="1"/>
    <col min="8978" max="8978" width="14.28515625" style="3" customWidth="1"/>
    <col min="8979" max="8979" width="14.7109375" style="3" bestFit="1" customWidth="1"/>
    <col min="8980" max="8980" width="13.7109375" style="3" customWidth="1"/>
    <col min="8981" max="8981" width="2.28515625" style="3" customWidth="1"/>
    <col min="8982" max="8983" width="13" style="3" customWidth="1"/>
    <col min="8984" max="8984" width="13.42578125" style="3" customWidth="1"/>
    <col min="8985" max="8985" width="14.140625" style="3" customWidth="1"/>
    <col min="8986" max="8986" width="13.5703125" style="3" customWidth="1"/>
    <col min="8987" max="8987" width="2.42578125" style="3" customWidth="1"/>
    <col min="8988" max="8988" width="15" style="3" bestFit="1" customWidth="1"/>
    <col min="8989" max="8989" width="4.5703125" style="3" customWidth="1"/>
    <col min="8990" max="8990" width="6.85546875" style="3" customWidth="1"/>
    <col min="8991" max="8991" width="14.28515625" style="3" bestFit="1" customWidth="1"/>
    <col min="8992" max="8992" width="12.5703125" style="3" bestFit="1" customWidth="1"/>
    <col min="8993" max="8993" width="17.28515625" style="3" customWidth="1"/>
    <col min="8994" max="9218" width="8.85546875" style="3"/>
    <col min="9219" max="9219" width="3.85546875" style="3" customWidth="1"/>
    <col min="9220" max="9220" width="2.7109375" style="3" customWidth="1"/>
    <col min="9221" max="9221" width="15.5703125" style="3" customWidth="1"/>
    <col min="9222" max="9222" width="1.85546875" style="3" customWidth="1"/>
    <col min="9223" max="9223" width="28.28515625" style="3" customWidth="1"/>
    <col min="9224" max="9224" width="3.28515625" style="3" customWidth="1"/>
    <col min="9225" max="9225" width="15.5703125" style="3" customWidth="1"/>
    <col min="9226" max="9226" width="3" style="3" customWidth="1"/>
    <col min="9227" max="9227" width="21.28515625" style="3" customWidth="1"/>
    <col min="9228" max="9228" width="2.85546875" style="3" customWidth="1"/>
    <col min="9229" max="9229" width="22.7109375" style="3" customWidth="1"/>
    <col min="9230" max="9230" width="3" style="3" customWidth="1"/>
    <col min="9231" max="9231" width="23.28515625" style="3" bestFit="1" customWidth="1"/>
    <col min="9232" max="9233" width="16.28515625" style="3" customWidth="1"/>
    <col min="9234" max="9234" width="14.28515625" style="3" customWidth="1"/>
    <col min="9235" max="9235" width="14.7109375" style="3" bestFit="1" customWidth="1"/>
    <col min="9236" max="9236" width="13.7109375" style="3" customWidth="1"/>
    <col min="9237" max="9237" width="2.28515625" style="3" customWidth="1"/>
    <col min="9238" max="9239" width="13" style="3" customWidth="1"/>
    <col min="9240" max="9240" width="13.42578125" style="3" customWidth="1"/>
    <col min="9241" max="9241" width="14.140625" style="3" customWidth="1"/>
    <col min="9242" max="9242" width="13.5703125" style="3" customWidth="1"/>
    <col min="9243" max="9243" width="2.42578125" style="3" customWidth="1"/>
    <col min="9244" max="9244" width="15" style="3" bestFit="1" customWidth="1"/>
    <col min="9245" max="9245" width="4.5703125" style="3" customWidth="1"/>
    <col min="9246" max="9246" width="6.85546875" style="3" customWidth="1"/>
    <col min="9247" max="9247" width="14.28515625" style="3" bestFit="1" customWidth="1"/>
    <col min="9248" max="9248" width="12.5703125" style="3" bestFit="1" customWidth="1"/>
    <col min="9249" max="9249" width="17.28515625" style="3" customWidth="1"/>
    <col min="9250" max="9474" width="8.85546875" style="3"/>
    <col min="9475" max="9475" width="3.85546875" style="3" customWidth="1"/>
    <col min="9476" max="9476" width="2.7109375" style="3" customWidth="1"/>
    <col min="9477" max="9477" width="15.5703125" style="3" customWidth="1"/>
    <col min="9478" max="9478" width="1.85546875" style="3" customWidth="1"/>
    <col min="9479" max="9479" width="28.28515625" style="3" customWidth="1"/>
    <col min="9480" max="9480" width="3.28515625" style="3" customWidth="1"/>
    <col min="9481" max="9481" width="15.5703125" style="3" customWidth="1"/>
    <col min="9482" max="9482" width="3" style="3" customWidth="1"/>
    <col min="9483" max="9483" width="21.28515625" style="3" customWidth="1"/>
    <col min="9484" max="9484" width="2.85546875" style="3" customWidth="1"/>
    <col min="9485" max="9485" width="22.7109375" style="3" customWidth="1"/>
    <col min="9486" max="9486" width="3" style="3" customWidth="1"/>
    <col min="9487" max="9487" width="23.28515625" style="3" bestFit="1" customWidth="1"/>
    <col min="9488" max="9489" width="16.28515625" style="3" customWidth="1"/>
    <col min="9490" max="9490" width="14.28515625" style="3" customWidth="1"/>
    <col min="9491" max="9491" width="14.7109375" style="3" bestFit="1" customWidth="1"/>
    <col min="9492" max="9492" width="13.7109375" style="3" customWidth="1"/>
    <col min="9493" max="9493" width="2.28515625" style="3" customWidth="1"/>
    <col min="9494" max="9495" width="13" style="3" customWidth="1"/>
    <col min="9496" max="9496" width="13.42578125" style="3" customWidth="1"/>
    <col min="9497" max="9497" width="14.140625" style="3" customWidth="1"/>
    <col min="9498" max="9498" width="13.5703125" style="3" customWidth="1"/>
    <col min="9499" max="9499" width="2.42578125" style="3" customWidth="1"/>
    <col min="9500" max="9500" width="15" style="3" bestFit="1" customWidth="1"/>
    <col min="9501" max="9501" width="4.5703125" style="3" customWidth="1"/>
    <col min="9502" max="9502" width="6.85546875" style="3" customWidth="1"/>
    <col min="9503" max="9503" width="14.28515625" style="3" bestFit="1" customWidth="1"/>
    <col min="9504" max="9504" width="12.5703125" style="3" bestFit="1" customWidth="1"/>
    <col min="9505" max="9505" width="17.28515625" style="3" customWidth="1"/>
    <col min="9506" max="9730" width="8.85546875" style="3"/>
    <col min="9731" max="9731" width="3.85546875" style="3" customWidth="1"/>
    <col min="9732" max="9732" width="2.7109375" style="3" customWidth="1"/>
    <col min="9733" max="9733" width="15.5703125" style="3" customWidth="1"/>
    <col min="9734" max="9734" width="1.85546875" style="3" customWidth="1"/>
    <col min="9735" max="9735" width="28.28515625" style="3" customWidth="1"/>
    <col min="9736" max="9736" width="3.28515625" style="3" customWidth="1"/>
    <col min="9737" max="9737" width="15.5703125" style="3" customWidth="1"/>
    <col min="9738" max="9738" width="3" style="3" customWidth="1"/>
    <col min="9739" max="9739" width="21.28515625" style="3" customWidth="1"/>
    <col min="9740" max="9740" width="2.85546875" style="3" customWidth="1"/>
    <col min="9741" max="9741" width="22.7109375" style="3" customWidth="1"/>
    <col min="9742" max="9742" width="3" style="3" customWidth="1"/>
    <col min="9743" max="9743" width="23.28515625" style="3" bestFit="1" customWidth="1"/>
    <col min="9744" max="9745" width="16.28515625" style="3" customWidth="1"/>
    <col min="9746" max="9746" width="14.28515625" style="3" customWidth="1"/>
    <col min="9747" max="9747" width="14.7109375" style="3" bestFit="1" customWidth="1"/>
    <col min="9748" max="9748" width="13.7109375" style="3" customWidth="1"/>
    <col min="9749" max="9749" width="2.28515625" style="3" customWidth="1"/>
    <col min="9750" max="9751" width="13" style="3" customWidth="1"/>
    <col min="9752" max="9752" width="13.42578125" style="3" customWidth="1"/>
    <col min="9753" max="9753" width="14.140625" style="3" customWidth="1"/>
    <col min="9754" max="9754" width="13.5703125" style="3" customWidth="1"/>
    <col min="9755" max="9755" width="2.42578125" style="3" customWidth="1"/>
    <col min="9756" max="9756" width="15" style="3" bestFit="1" customWidth="1"/>
    <col min="9757" max="9757" width="4.5703125" style="3" customWidth="1"/>
    <col min="9758" max="9758" width="6.85546875" style="3" customWidth="1"/>
    <col min="9759" max="9759" width="14.28515625" style="3" bestFit="1" customWidth="1"/>
    <col min="9760" max="9760" width="12.5703125" style="3" bestFit="1" customWidth="1"/>
    <col min="9761" max="9761" width="17.28515625" style="3" customWidth="1"/>
    <col min="9762" max="9986" width="8.85546875" style="3"/>
    <col min="9987" max="9987" width="3.85546875" style="3" customWidth="1"/>
    <col min="9988" max="9988" width="2.7109375" style="3" customWidth="1"/>
    <col min="9989" max="9989" width="15.5703125" style="3" customWidth="1"/>
    <col min="9990" max="9990" width="1.85546875" style="3" customWidth="1"/>
    <col min="9991" max="9991" width="28.28515625" style="3" customWidth="1"/>
    <col min="9992" max="9992" width="3.28515625" style="3" customWidth="1"/>
    <col min="9993" max="9993" width="15.5703125" style="3" customWidth="1"/>
    <col min="9994" max="9994" width="3" style="3" customWidth="1"/>
    <col min="9995" max="9995" width="21.28515625" style="3" customWidth="1"/>
    <col min="9996" max="9996" width="2.85546875" style="3" customWidth="1"/>
    <col min="9997" max="9997" width="22.7109375" style="3" customWidth="1"/>
    <col min="9998" max="9998" width="3" style="3" customWidth="1"/>
    <col min="9999" max="9999" width="23.28515625" style="3" bestFit="1" customWidth="1"/>
    <col min="10000" max="10001" width="16.28515625" style="3" customWidth="1"/>
    <col min="10002" max="10002" width="14.28515625" style="3" customWidth="1"/>
    <col min="10003" max="10003" width="14.7109375" style="3" bestFit="1" customWidth="1"/>
    <col min="10004" max="10004" width="13.7109375" style="3" customWidth="1"/>
    <col min="10005" max="10005" width="2.28515625" style="3" customWidth="1"/>
    <col min="10006" max="10007" width="13" style="3" customWidth="1"/>
    <col min="10008" max="10008" width="13.42578125" style="3" customWidth="1"/>
    <col min="10009" max="10009" width="14.140625" style="3" customWidth="1"/>
    <col min="10010" max="10010" width="13.5703125" style="3" customWidth="1"/>
    <col min="10011" max="10011" width="2.42578125" style="3" customWidth="1"/>
    <col min="10012" max="10012" width="15" style="3" bestFit="1" customWidth="1"/>
    <col min="10013" max="10013" width="4.5703125" style="3" customWidth="1"/>
    <col min="10014" max="10014" width="6.85546875" style="3" customWidth="1"/>
    <col min="10015" max="10015" width="14.28515625" style="3" bestFit="1" customWidth="1"/>
    <col min="10016" max="10016" width="12.5703125" style="3" bestFit="1" customWidth="1"/>
    <col min="10017" max="10017" width="17.28515625" style="3" customWidth="1"/>
    <col min="10018" max="10242" width="8.85546875" style="3"/>
    <col min="10243" max="10243" width="3.85546875" style="3" customWidth="1"/>
    <col min="10244" max="10244" width="2.7109375" style="3" customWidth="1"/>
    <col min="10245" max="10245" width="15.5703125" style="3" customWidth="1"/>
    <col min="10246" max="10246" width="1.85546875" style="3" customWidth="1"/>
    <col min="10247" max="10247" width="28.28515625" style="3" customWidth="1"/>
    <col min="10248" max="10248" width="3.28515625" style="3" customWidth="1"/>
    <col min="10249" max="10249" width="15.5703125" style="3" customWidth="1"/>
    <col min="10250" max="10250" width="3" style="3" customWidth="1"/>
    <col min="10251" max="10251" width="21.28515625" style="3" customWidth="1"/>
    <col min="10252" max="10252" width="2.85546875" style="3" customWidth="1"/>
    <col min="10253" max="10253" width="22.7109375" style="3" customWidth="1"/>
    <col min="10254" max="10254" width="3" style="3" customWidth="1"/>
    <col min="10255" max="10255" width="23.28515625" style="3" bestFit="1" customWidth="1"/>
    <col min="10256" max="10257" width="16.28515625" style="3" customWidth="1"/>
    <col min="10258" max="10258" width="14.28515625" style="3" customWidth="1"/>
    <col min="10259" max="10259" width="14.7109375" style="3" bestFit="1" customWidth="1"/>
    <col min="10260" max="10260" width="13.7109375" style="3" customWidth="1"/>
    <col min="10261" max="10261" width="2.28515625" style="3" customWidth="1"/>
    <col min="10262" max="10263" width="13" style="3" customWidth="1"/>
    <col min="10264" max="10264" width="13.42578125" style="3" customWidth="1"/>
    <col min="10265" max="10265" width="14.140625" style="3" customWidth="1"/>
    <col min="10266" max="10266" width="13.5703125" style="3" customWidth="1"/>
    <col min="10267" max="10267" width="2.42578125" style="3" customWidth="1"/>
    <col min="10268" max="10268" width="15" style="3" bestFit="1" customWidth="1"/>
    <col min="10269" max="10269" width="4.5703125" style="3" customWidth="1"/>
    <col min="10270" max="10270" width="6.85546875" style="3" customWidth="1"/>
    <col min="10271" max="10271" width="14.28515625" style="3" bestFit="1" customWidth="1"/>
    <col min="10272" max="10272" width="12.5703125" style="3" bestFit="1" customWidth="1"/>
    <col min="10273" max="10273" width="17.28515625" style="3" customWidth="1"/>
    <col min="10274" max="10498" width="8.85546875" style="3"/>
    <col min="10499" max="10499" width="3.85546875" style="3" customWidth="1"/>
    <col min="10500" max="10500" width="2.7109375" style="3" customWidth="1"/>
    <col min="10501" max="10501" width="15.5703125" style="3" customWidth="1"/>
    <col min="10502" max="10502" width="1.85546875" style="3" customWidth="1"/>
    <col min="10503" max="10503" width="28.28515625" style="3" customWidth="1"/>
    <col min="10504" max="10504" width="3.28515625" style="3" customWidth="1"/>
    <col min="10505" max="10505" width="15.5703125" style="3" customWidth="1"/>
    <col min="10506" max="10506" width="3" style="3" customWidth="1"/>
    <col min="10507" max="10507" width="21.28515625" style="3" customWidth="1"/>
    <col min="10508" max="10508" width="2.85546875" style="3" customWidth="1"/>
    <col min="10509" max="10509" width="22.7109375" style="3" customWidth="1"/>
    <col min="10510" max="10510" width="3" style="3" customWidth="1"/>
    <col min="10511" max="10511" width="23.28515625" style="3" bestFit="1" customWidth="1"/>
    <col min="10512" max="10513" width="16.28515625" style="3" customWidth="1"/>
    <col min="10514" max="10514" width="14.28515625" style="3" customWidth="1"/>
    <col min="10515" max="10515" width="14.7109375" style="3" bestFit="1" customWidth="1"/>
    <col min="10516" max="10516" width="13.7109375" style="3" customWidth="1"/>
    <col min="10517" max="10517" width="2.28515625" style="3" customWidth="1"/>
    <col min="10518" max="10519" width="13" style="3" customWidth="1"/>
    <col min="10520" max="10520" width="13.42578125" style="3" customWidth="1"/>
    <col min="10521" max="10521" width="14.140625" style="3" customWidth="1"/>
    <col min="10522" max="10522" width="13.5703125" style="3" customWidth="1"/>
    <col min="10523" max="10523" width="2.42578125" style="3" customWidth="1"/>
    <col min="10524" max="10524" width="15" style="3" bestFit="1" customWidth="1"/>
    <col min="10525" max="10525" width="4.5703125" style="3" customWidth="1"/>
    <col min="10526" max="10526" width="6.85546875" style="3" customWidth="1"/>
    <col min="10527" max="10527" width="14.28515625" style="3" bestFit="1" customWidth="1"/>
    <col min="10528" max="10528" width="12.5703125" style="3" bestFit="1" customWidth="1"/>
    <col min="10529" max="10529" width="17.28515625" style="3" customWidth="1"/>
    <col min="10530" max="10754" width="8.85546875" style="3"/>
    <col min="10755" max="10755" width="3.85546875" style="3" customWidth="1"/>
    <col min="10756" max="10756" width="2.7109375" style="3" customWidth="1"/>
    <col min="10757" max="10757" width="15.5703125" style="3" customWidth="1"/>
    <col min="10758" max="10758" width="1.85546875" style="3" customWidth="1"/>
    <col min="10759" max="10759" width="28.28515625" style="3" customWidth="1"/>
    <col min="10760" max="10760" width="3.28515625" style="3" customWidth="1"/>
    <col min="10761" max="10761" width="15.5703125" style="3" customWidth="1"/>
    <col min="10762" max="10762" width="3" style="3" customWidth="1"/>
    <col min="10763" max="10763" width="21.28515625" style="3" customWidth="1"/>
    <col min="10764" max="10764" width="2.85546875" style="3" customWidth="1"/>
    <col min="10765" max="10765" width="22.7109375" style="3" customWidth="1"/>
    <col min="10766" max="10766" width="3" style="3" customWidth="1"/>
    <col min="10767" max="10767" width="23.28515625" style="3" bestFit="1" customWidth="1"/>
    <col min="10768" max="10769" width="16.28515625" style="3" customWidth="1"/>
    <col min="10770" max="10770" width="14.28515625" style="3" customWidth="1"/>
    <col min="10771" max="10771" width="14.7109375" style="3" bestFit="1" customWidth="1"/>
    <col min="10772" max="10772" width="13.7109375" style="3" customWidth="1"/>
    <col min="10773" max="10773" width="2.28515625" style="3" customWidth="1"/>
    <col min="10774" max="10775" width="13" style="3" customWidth="1"/>
    <col min="10776" max="10776" width="13.42578125" style="3" customWidth="1"/>
    <col min="10777" max="10777" width="14.140625" style="3" customWidth="1"/>
    <col min="10778" max="10778" width="13.5703125" style="3" customWidth="1"/>
    <col min="10779" max="10779" width="2.42578125" style="3" customWidth="1"/>
    <col min="10780" max="10780" width="15" style="3" bestFit="1" customWidth="1"/>
    <col min="10781" max="10781" width="4.5703125" style="3" customWidth="1"/>
    <col min="10782" max="10782" width="6.85546875" style="3" customWidth="1"/>
    <col min="10783" max="10783" width="14.28515625" style="3" bestFit="1" customWidth="1"/>
    <col min="10784" max="10784" width="12.5703125" style="3" bestFit="1" customWidth="1"/>
    <col min="10785" max="10785" width="17.28515625" style="3" customWidth="1"/>
    <col min="10786" max="11010" width="8.85546875" style="3"/>
    <col min="11011" max="11011" width="3.85546875" style="3" customWidth="1"/>
    <col min="11012" max="11012" width="2.7109375" style="3" customWidth="1"/>
    <col min="11013" max="11013" width="15.5703125" style="3" customWidth="1"/>
    <col min="11014" max="11014" width="1.85546875" style="3" customWidth="1"/>
    <col min="11015" max="11015" width="28.28515625" style="3" customWidth="1"/>
    <col min="11016" max="11016" width="3.28515625" style="3" customWidth="1"/>
    <col min="11017" max="11017" width="15.5703125" style="3" customWidth="1"/>
    <col min="11018" max="11018" width="3" style="3" customWidth="1"/>
    <col min="11019" max="11019" width="21.28515625" style="3" customWidth="1"/>
    <col min="11020" max="11020" width="2.85546875" style="3" customWidth="1"/>
    <col min="11021" max="11021" width="22.7109375" style="3" customWidth="1"/>
    <col min="11022" max="11022" width="3" style="3" customWidth="1"/>
    <col min="11023" max="11023" width="23.28515625" style="3" bestFit="1" customWidth="1"/>
    <col min="11024" max="11025" width="16.28515625" style="3" customWidth="1"/>
    <col min="11026" max="11026" width="14.28515625" style="3" customWidth="1"/>
    <col min="11027" max="11027" width="14.7109375" style="3" bestFit="1" customWidth="1"/>
    <col min="11028" max="11028" width="13.7109375" style="3" customWidth="1"/>
    <col min="11029" max="11029" width="2.28515625" style="3" customWidth="1"/>
    <col min="11030" max="11031" width="13" style="3" customWidth="1"/>
    <col min="11032" max="11032" width="13.42578125" style="3" customWidth="1"/>
    <col min="11033" max="11033" width="14.140625" style="3" customWidth="1"/>
    <col min="11034" max="11034" width="13.5703125" style="3" customWidth="1"/>
    <col min="11035" max="11035" width="2.42578125" style="3" customWidth="1"/>
    <col min="11036" max="11036" width="15" style="3" bestFit="1" customWidth="1"/>
    <col min="11037" max="11037" width="4.5703125" style="3" customWidth="1"/>
    <col min="11038" max="11038" width="6.85546875" style="3" customWidth="1"/>
    <col min="11039" max="11039" width="14.28515625" style="3" bestFit="1" customWidth="1"/>
    <col min="11040" max="11040" width="12.5703125" style="3" bestFit="1" customWidth="1"/>
    <col min="11041" max="11041" width="17.28515625" style="3" customWidth="1"/>
    <col min="11042" max="11266" width="8.85546875" style="3"/>
    <col min="11267" max="11267" width="3.85546875" style="3" customWidth="1"/>
    <col min="11268" max="11268" width="2.7109375" style="3" customWidth="1"/>
    <col min="11269" max="11269" width="15.5703125" style="3" customWidth="1"/>
    <col min="11270" max="11270" width="1.85546875" style="3" customWidth="1"/>
    <col min="11271" max="11271" width="28.28515625" style="3" customWidth="1"/>
    <col min="11272" max="11272" width="3.28515625" style="3" customWidth="1"/>
    <col min="11273" max="11273" width="15.5703125" style="3" customWidth="1"/>
    <col min="11274" max="11274" width="3" style="3" customWidth="1"/>
    <col min="11275" max="11275" width="21.28515625" style="3" customWidth="1"/>
    <col min="11276" max="11276" width="2.85546875" style="3" customWidth="1"/>
    <col min="11277" max="11277" width="22.7109375" style="3" customWidth="1"/>
    <col min="11278" max="11278" width="3" style="3" customWidth="1"/>
    <col min="11279" max="11279" width="23.28515625" style="3" bestFit="1" customWidth="1"/>
    <col min="11280" max="11281" width="16.28515625" style="3" customWidth="1"/>
    <col min="11282" max="11282" width="14.28515625" style="3" customWidth="1"/>
    <col min="11283" max="11283" width="14.7109375" style="3" bestFit="1" customWidth="1"/>
    <col min="11284" max="11284" width="13.7109375" style="3" customWidth="1"/>
    <col min="11285" max="11285" width="2.28515625" style="3" customWidth="1"/>
    <col min="11286" max="11287" width="13" style="3" customWidth="1"/>
    <col min="11288" max="11288" width="13.42578125" style="3" customWidth="1"/>
    <col min="11289" max="11289" width="14.140625" style="3" customWidth="1"/>
    <col min="11290" max="11290" width="13.5703125" style="3" customWidth="1"/>
    <col min="11291" max="11291" width="2.42578125" style="3" customWidth="1"/>
    <col min="11292" max="11292" width="15" style="3" bestFit="1" customWidth="1"/>
    <col min="11293" max="11293" width="4.5703125" style="3" customWidth="1"/>
    <col min="11294" max="11294" width="6.85546875" style="3" customWidth="1"/>
    <col min="11295" max="11295" width="14.28515625" style="3" bestFit="1" customWidth="1"/>
    <col min="11296" max="11296" width="12.5703125" style="3" bestFit="1" customWidth="1"/>
    <col min="11297" max="11297" width="17.28515625" style="3" customWidth="1"/>
    <col min="11298" max="11522" width="8.85546875" style="3"/>
    <col min="11523" max="11523" width="3.85546875" style="3" customWidth="1"/>
    <col min="11524" max="11524" width="2.7109375" style="3" customWidth="1"/>
    <col min="11525" max="11525" width="15.5703125" style="3" customWidth="1"/>
    <col min="11526" max="11526" width="1.85546875" style="3" customWidth="1"/>
    <col min="11527" max="11527" width="28.28515625" style="3" customWidth="1"/>
    <col min="11528" max="11528" width="3.28515625" style="3" customWidth="1"/>
    <col min="11529" max="11529" width="15.5703125" style="3" customWidth="1"/>
    <col min="11530" max="11530" width="3" style="3" customWidth="1"/>
    <col min="11531" max="11531" width="21.28515625" style="3" customWidth="1"/>
    <col min="11532" max="11532" width="2.85546875" style="3" customWidth="1"/>
    <col min="11533" max="11533" width="22.7109375" style="3" customWidth="1"/>
    <col min="11534" max="11534" width="3" style="3" customWidth="1"/>
    <col min="11535" max="11535" width="23.28515625" style="3" bestFit="1" customWidth="1"/>
    <col min="11536" max="11537" width="16.28515625" style="3" customWidth="1"/>
    <col min="11538" max="11538" width="14.28515625" style="3" customWidth="1"/>
    <col min="11539" max="11539" width="14.7109375" style="3" bestFit="1" customWidth="1"/>
    <col min="11540" max="11540" width="13.7109375" style="3" customWidth="1"/>
    <col min="11541" max="11541" width="2.28515625" style="3" customWidth="1"/>
    <col min="11542" max="11543" width="13" style="3" customWidth="1"/>
    <col min="11544" max="11544" width="13.42578125" style="3" customWidth="1"/>
    <col min="11545" max="11545" width="14.140625" style="3" customWidth="1"/>
    <col min="11546" max="11546" width="13.5703125" style="3" customWidth="1"/>
    <col min="11547" max="11547" width="2.42578125" style="3" customWidth="1"/>
    <col min="11548" max="11548" width="15" style="3" bestFit="1" customWidth="1"/>
    <col min="11549" max="11549" width="4.5703125" style="3" customWidth="1"/>
    <col min="11550" max="11550" width="6.85546875" style="3" customWidth="1"/>
    <col min="11551" max="11551" width="14.28515625" style="3" bestFit="1" customWidth="1"/>
    <col min="11552" max="11552" width="12.5703125" style="3" bestFit="1" customWidth="1"/>
    <col min="11553" max="11553" width="17.28515625" style="3" customWidth="1"/>
    <col min="11554" max="11778" width="8.85546875" style="3"/>
    <col min="11779" max="11779" width="3.85546875" style="3" customWidth="1"/>
    <col min="11780" max="11780" width="2.7109375" style="3" customWidth="1"/>
    <col min="11781" max="11781" width="15.5703125" style="3" customWidth="1"/>
    <col min="11782" max="11782" width="1.85546875" style="3" customWidth="1"/>
    <col min="11783" max="11783" width="28.28515625" style="3" customWidth="1"/>
    <col min="11784" max="11784" width="3.28515625" style="3" customWidth="1"/>
    <col min="11785" max="11785" width="15.5703125" style="3" customWidth="1"/>
    <col min="11786" max="11786" width="3" style="3" customWidth="1"/>
    <col min="11787" max="11787" width="21.28515625" style="3" customWidth="1"/>
    <col min="11788" max="11788" width="2.85546875" style="3" customWidth="1"/>
    <col min="11789" max="11789" width="22.7109375" style="3" customWidth="1"/>
    <col min="11790" max="11790" width="3" style="3" customWidth="1"/>
    <col min="11791" max="11791" width="23.28515625" style="3" bestFit="1" customWidth="1"/>
    <col min="11792" max="11793" width="16.28515625" style="3" customWidth="1"/>
    <col min="11794" max="11794" width="14.28515625" style="3" customWidth="1"/>
    <col min="11795" max="11795" width="14.7109375" style="3" bestFit="1" customWidth="1"/>
    <col min="11796" max="11796" width="13.7109375" style="3" customWidth="1"/>
    <col min="11797" max="11797" width="2.28515625" style="3" customWidth="1"/>
    <col min="11798" max="11799" width="13" style="3" customWidth="1"/>
    <col min="11800" max="11800" width="13.42578125" style="3" customWidth="1"/>
    <col min="11801" max="11801" width="14.140625" style="3" customWidth="1"/>
    <col min="11802" max="11802" width="13.5703125" style="3" customWidth="1"/>
    <col min="11803" max="11803" width="2.42578125" style="3" customWidth="1"/>
    <col min="11804" max="11804" width="15" style="3" bestFit="1" customWidth="1"/>
    <col min="11805" max="11805" width="4.5703125" style="3" customWidth="1"/>
    <col min="11806" max="11806" width="6.85546875" style="3" customWidth="1"/>
    <col min="11807" max="11807" width="14.28515625" style="3" bestFit="1" customWidth="1"/>
    <col min="11808" max="11808" width="12.5703125" style="3" bestFit="1" customWidth="1"/>
    <col min="11809" max="11809" width="17.28515625" style="3" customWidth="1"/>
    <col min="11810" max="12034" width="8.85546875" style="3"/>
    <col min="12035" max="12035" width="3.85546875" style="3" customWidth="1"/>
    <col min="12036" max="12036" width="2.7109375" style="3" customWidth="1"/>
    <col min="12037" max="12037" width="15.5703125" style="3" customWidth="1"/>
    <col min="12038" max="12038" width="1.85546875" style="3" customWidth="1"/>
    <col min="12039" max="12039" width="28.28515625" style="3" customWidth="1"/>
    <col min="12040" max="12040" width="3.28515625" style="3" customWidth="1"/>
    <col min="12041" max="12041" width="15.5703125" style="3" customWidth="1"/>
    <col min="12042" max="12042" width="3" style="3" customWidth="1"/>
    <col min="12043" max="12043" width="21.28515625" style="3" customWidth="1"/>
    <col min="12044" max="12044" width="2.85546875" style="3" customWidth="1"/>
    <col min="12045" max="12045" width="22.7109375" style="3" customWidth="1"/>
    <col min="12046" max="12046" width="3" style="3" customWidth="1"/>
    <col min="12047" max="12047" width="23.28515625" style="3" bestFit="1" customWidth="1"/>
    <col min="12048" max="12049" width="16.28515625" style="3" customWidth="1"/>
    <col min="12050" max="12050" width="14.28515625" style="3" customWidth="1"/>
    <col min="12051" max="12051" width="14.7109375" style="3" bestFit="1" customWidth="1"/>
    <col min="12052" max="12052" width="13.7109375" style="3" customWidth="1"/>
    <col min="12053" max="12053" width="2.28515625" style="3" customWidth="1"/>
    <col min="12054" max="12055" width="13" style="3" customWidth="1"/>
    <col min="12056" max="12056" width="13.42578125" style="3" customWidth="1"/>
    <col min="12057" max="12057" width="14.140625" style="3" customWidth="1"/>
    <col min="12058" max="12058" width="13.5703125" style="3" customWidth="1"/>
    <col min="12059" max="12059" width="2.42578125" style="3" customWidth="1"/>
    <col min="12060" max="12060" width="15" style="3" bestFit="1" customWidth="1"/>
    <col min="12061" max="12061" width="4.5703125" style="3" customWidth="1"/>
    <col min="12062" max="12062" width="6.85546875" style="3" customWidth="1"/>
    <col min="12063" max="12063" width="14.28515625" style="3" bestFit="1" customWidth="1"/>
    <col min="12064" max="12064" width="12.5703125" style="3" bestFit="1" customWidth="1"/>
    <col min="12065" max="12065" width="17.28515625" style="3" customWidth="1"/>
    <col min="12066" max="12290" width="8.85546875" style="3"/>
    <col min="12291" max="12291" width="3.85546875" style="3" customWidth="1"/>
    <col min="12292" max="12292" width="2.7109375" style="3" customWidth="1"/>
    <col min="12293" max="12293" width="15.5703125" style="3" customWidth="1"/>
    <col min="12294" max="12294" width="1.85546875" style="3" customWidth="1"/>
    <col min="12295" max="12295" width="28.28515625" style="3" customWidth="1"/>
    <col min="12296" max="12296" width="3.28515625" style="3" customWidth="1"/>
    <col min="12297" max="12297" width="15.5703125" style="3" customWidth="1"/>
    <col min="12298" max="12298" width="3" style="3" customWidth="1"/>
    <col min="12299" max="12299" width="21.28515625" style="3" customWidth="1"/>
    <col min="12300" max="12300" width="2.85546875" style="3" customWidth="1"/>
    <col min="12301" max="12301" width="22.7109375" style="3" customWidth="1"/>
    <col min="12302" max="12302" width="3" style="3" customWidth="1"/>
    <col min="12303" max="12303" width="23.28515625" style="3" bestFit="1" customWidth="1"/>
    <col min="12304" max="12305" width="16.28515625" style="3" customWidth="1"/>
    <col min="12306" max="12306" width="14.28515625" style="3" customWidth="1"/>
    <col min="12307" max="12307" width="14.7109375" style="3" bestFit="1" customWidth="1"/>
    <col min="12308" max="12308" width="13.7109375" style="3" customWidth="1"/>
    <col min="12309" max="12309" width="2.28515625" style="3" customWidth="1"/>
    <col min="12310" max="12311" width="13" style="3" customWidth="1"/>
    <col min="12312" max="12312" width="13.42578125" style="3" customWidth="1"/>
    <col min="12313" max="12313" width="14.140625" style="3" customWidth="1"/>
    <col min="12314" max="12314" width="13.5703125" style="3" customWidth="1"/>
    <col min="12315" max="12315" width="2.42578125" style="3" customWidth="1"/>
    <col min="12316" max="12316" width="15" style="3" bestFit="1" customWidth="1"/>
    <col min="12317" max="12317" width="4.5703125" style="3" customWidth="1"/>
    <col min="12318" max="12318" width="6.85546875" style="3" customWidth="1"/>
    <col min="12319" max="12319" width="14.28515625" style="3" bestFit="1" customWidth="1"/>
    <col min="12320" max="12320" width="12.5703125" style="3" bestFit="1" customWidth="1"/>
    <col min="12321" max="12321" width="17.28515625" style="3" customWidth="1"/>
    <col min="12322" max="12546" width="8.85546875" style="3"/>
    <col min="12547" max="12547" width="3.85546875" style="3" customWidth="1"/>
    <col min="12548" max="12548" width="2.7109375" style="3" customWidth="1"/>
    <col min="12549" max="12549" width="15.5703125" style="3" customWidth="1"/>
    <col min="12550" max="12550" width="1.85546875" style="3" customWidth="1"/>
    <col min="12551" max="12551" width="28.28515625" style="3" customWidth="1"/>
    <col min="12552" max="12552" width="3.28515625" style="3" customWidth="1"/>
    <col min="12553" max="12553" width="15.5703125" style="3" customWidth="1"/>
    <col min="12554" max="12554" width="3" style="3" customWidth="1"/>
    <col min="12555" max="12555" width="21.28515625" style="3" customWidth="1"/>
    <col min="12556" max="12556" width="2.85546875" style="3" customWidth="1"/>
    <col min="12557" max="12557" width="22.7109375" style="3" customWidth="1"/>
    <col min="12558" max="12558" width="3" style="3" customWidth="1"/>
    <col min="12559" max="12559" width="23.28515625" style="3" bestFit="1" customWidth="1"/>
    <col min="12560" max="12561" width="16.28515625" style="3" customWidth="1"/>
    <col min="12562" max="12562" width="14.28515625" style="3" customWidth="1"/>
    <col min="12563" max="12563" width="14.7109375" style="3" bestFit="1" customWidth="1"/>
    <col min="12564" max="12564" width="13.7109375" style="3" customWidth="1"/>
    <col min="12565" max="12565" width="2.28515625" style="3" customWidth="1"/>
    <col min="12566" max="12567" width="13" style="3" customWidth="1"/>
    <col min="12568" max="12568" width="13.42578125" style="3" customWidth="1"/>
    <col min="12569" max="12569" width="14.140625" style="3" customWidth="1"/>
    <col min="12570" max="12570" width="13.5703125" style="3" customWidth="1"/>
    <col min="12571" max="12571" width="2.42578125" style="3" customWidth="1"/>
    <col min="12572" max="12572" width="15" style="3" bestFit="1" customWidth="1"/>
    <col min="12573" max="12573" width="4.5703125" style="3" customWidth="1"/>
    <col min="12574" max="12574" width="6.85546875" style="3" customWidth="1"/>
    <col min="12575" max="12575" width="14.28515625" style="3" bestFit="1" customWidth="1"/>
    <col min="12576" max="12576" width="12.5703125" style="3" bestFit="1" customWidth="1"/>
    <col min="12577" max="12577" width="17.28515625" style="3" customWidth="1"/>
    <col min="12578" max="12802" width="8.85546875" style="3"/>
    <col min="12803" max="12803" width="3.85546875" style="3" customWidth="1"/>
    <col min="12804" max="12804" width="2.7109375" style="3" customWidth="1"/>
    <col min="12805" max="12805" width="15.5703125" style="3" customWidth="1"/>
    <col min="12806" max="12806" width="1.85546875" style="3" customWidth="1"/>
    <col min="12807" max="12807" width="28.28515625" style="3" customWidth="1"/>
    <col min="12808" max="12808" width="3.28515625" style="3" customWidth="1"/>
    <col min="12809" max="12809" width="15.5703125" style="3" customWidth="1"/>
    <col min="12810" max="12810" width="3" style="3" customWidth="1"/>
    <col min="12811" max="12811" width="21.28515625" style="3" customWidth="1"/>
    <col min="12812" max="12812" width="2.85546875" style="3" customWidth="1"/>
    <col min="12813" max="12813" width="22.7109375" style="3" customWidth="1"/>
    <col min="12814" max="12814" width="3" style="3" customWidth="1"/>
    <col min="12815" max="12815" width="23.28515625" style="3" bestFit="1" customWidth="1"/>
    <col min="12816" max="12817" width="16.28515625" style="3" customWidth="1"/>
    <col min="12818" max="12818" width="14.28515625" style="3" customWidth="1"/>
    <col min="12819" max="12819" width="14.7109375" style="3" bestFit="1" customWidth="1"/>
    <col min="12820" max="12820" width="13.7109375" style="3" customWidth="1"/>
    <col min="12821" max="12821" width="2.28515625" style="3" customWidth="1"/>
    <col min="12822" max="12823" width="13" style="3" customWidth="1"/>
    <col min="12824" max="12824" width="13.42578125" style="3" customWidth="1"/>
    <col min="12825" max="12825" width="14.140625" style="3" customWidth="1"/>
    <col min="12826" max="12826" width="13.5703125" style="3" customWidth="1"/>
    <col min="12827" max="12827" width="2.42578125" style="3" customWidth="1"/>
    <col min="12828" max="12828" width="15" style="3" bestFit="1" customWidth="1"/>
    <col min="12829" max="12829" width="4.5703125" style="3" customWidth="1"/>
    <col min="12830" max="12830" width="6.85546875" style="3" customWidth="1"/>
    <col min="12831" max="12831" width="14.28515625" style="3" bestFit="1" customWidth="1"/>
    <col min="12832" max="12832" width="12.5703125" style="3" bestFit="1" customWidth="1"/>
    <col min="12833" max="12833" width="17.28515625" style="3" customWidth="1"/>
    <col min="12834" max="13058" width="8.85546875" style="3"/>
    <col min="13059" max="13059" width="3.85546875" style="3" customWidth="1"/>
    <col min="13060" max="13060" width="2.7109375" style="3" customWidth="1"/>
    <col min="13061" max="13061" width="15.5703125" style="3" customWidth="1"/>
    <col min="13062" max="13062" width="1.85546875" style="3" customWidth="1"/>
    <col min="13063" max="13063" width="28.28515625" style="3" customWidth="1"/>
    <col min="13064" max="13064" width="3.28515625" style="3" customWidth="1"/>
    <col min="13065" max="13065" width="15.5703125" style="3" customWidth="1"/>
    <col min="13066" max="13066" width="3" style="3" customWidth="1"/>
    <col min="13067" max="13067" width="21.28515625" style="3" customWidth="1"/>
    <col min="13068" max="13068" width="2.85546875" style="3" customWidth="1"/>
    <col min="13069" max="13069" width="22.7109375" style="3" customWidth="1"/>
    <col min="13070" max="13070" width="3" style="3" customWidth="1"/>
    <col min="13071" max="13071" width="23.28515625" style="3" bestFit="1" customWidth="1"/>
    <col min="13072" max="13073" width="16.28515625" style="3" customWidth="1"/>
    <col min="13074" max="13074" width="14.28515625" style="3" customWidth="1"/>
    <col min="13075" max="13075" width="14.7109375" style="3" bestFit="1" customWidth="1"/>
    <col min="13076" max="13076" width="13.7109375" style="3" customWidth="1"/>
    <col min="13077" max="13077" width="2.28515625" style="3" customWidth="1"/>
    <col min="13078" max="13079" width="13" style="3" customWidth="1"/>
    <col min="13080" max="13080" width="13.42578125" style="3" customWidth="1"/>
    <col min="13081" max="13081" width="14.140625" style="3" customWidth="1"/>
    <col min="13082" max="13082" width="13.5703125" style="3" customWidth="1"/>
    <col min="13083" max="13083" width="2.42578125" style="3" customWidth="1"/>
    <col min="13084" max="13084" width="15" style="3" bestFit="1" customWidth="1"/>
    <col min="13085" max="13085" width="4.5703125" style="3" customWidth="1"/>
    <col min="13086" max="13086" width="6.85546875" style="3" customWidth="1"/>
    <col min="13087" max="13087" width="14.28515625" style="3" bestFit="1" customWidth="1"/>
    <col min="13088" max="13088" width="12.5703125" style="3" bestFit="1" customWidth="1"/>
    <col min="13089" max="13089" width="17.28515625" style="3" customWidth="1"/>
    <col min="13090" max="13314" width="8.85546875" style="3"/>
    <col min="13315" max="13315" width="3.85546875" style="3" customWidth="1"/>
    <col min="13316" max="13316" width="2.7109375" style="3" customWidth="1"/>
    <col min="13317" max="13317" width="15.5703125" style="3" customWidth="1"/>
    <col min="13318" max="13318" width="1.85546875" style="3" customWidth="1"/>
    <col min="13319" max="13319" width="28.28515625" style="3" customWidth="1"/>
    <col min="13320" max="13320" width="3.28515625" style="3" customWidth="1"/>
    <col min="13321" max="13321" width="15.5703125" style="3" customWidth="1"/>
    <col min="13322" max="13322" width="3" style="3" customWidth="1"/>
    <col min="13323" max="13323" width="21.28515625" style="3" customWidth="1"/>
    <col min="13324" max="13324" width="2.85546875" style="3" customWidth="1"/>
    <col min="13325" max="13325" width="22.7109375" style="3" customWidth="1"/>
    <col min="13326" max="13326" width="3" style="3" customWidth="1"/>
    <col min="13327" max="13327" width="23.28515625" style="3" bestFit="1" customWidth="1"/>
    <col min="13328" max="13329" width="16.28515625" style="3" customWidth="1"/>
    <col min="13330" max="13330" width="14.28515625" style="3" customWidth="1"/>
    <col min="13331" max="13331" width="14.7109375" style="3" bestFit="1" customWidth="1"/>
    <col min="13332" max="13332" width="13.7109375" style="3" customWidth="1"/>
    <col min="13333" max="13333" width="2.28515625" style="3" customWidth="1"/>
    <col min="13334" max="13335" width="13" style="3" customWidth="1"/>
    <col min="13336" max="13336" width="13.42578125" style="3" customWidth="1"/>
    <col min="13337" max="13337" width="14.140625" style="3" customWidth="1"/>
    <col min="13338" max="13338" width="13.5703125" style="3" customWidth="1"/>
    <col min="13339" max="13339" width="2.42578125" style="3" customWidth="1"/>
    <col min="13340" max="13340" width="15" style="3" bestFit="1" customWidth="1"/>
    <col min="13341" max="13341" width="4.5703125" style="3" customWidth="1"/>
    <col min="13342" max="13342" width="6.85546875" style="3" customWidth="1"/>
    <col min="13343" max="13343" width="14.28515625" style="3" bestFit="1" customWidth="1"/>
    <col min="13344" max="13344" width="12.5703125" style="3" bestFit="1" customWidth="1"/>
    <col min="13345" max="13345" width="17.28515625" style="3" customWidth="1"/>
    <col min="13346" max="13570" width="8.85546875" style="3"/>
    <col min="13571" max="13571" width="3.85546875" style="3" customWidth="1"/>
    <col min="13572" max="13572" width="2.7109375" style="3" customWidth="1"/>
    <col min="13573" max="13573" width="15.5703125" style="3" customWidth="1"/>
    <col min="13574" max="13574" width="1.85546875" style="3" customWidth="1"/>
    <col min="13575" max="13575" width="28.28515625" style="3" customWidth="1"/>
    <col min="13576" max="13576" width="3.28515625" style="3" customWidth="1"/>
    <col min="13577" max="13577" width="15.5703125" style="3" customWidth="1"/>
    <col min="13578" max="13578" width="3" style="3" customWidth="1"/>
    <col min="13579" max="13579" width="21.28515625" style="3" customWidth="1"/>
    <col min="13580" max="13580" width="2.85546875" style="3" customWidth="1"/>
    <col min="13581" max="13581" width="22.7109375" style="3" customWidth="1"/>
    <col min="13582" max="13582" width="3" style="3" customWidth="1"/>
    <col min="13583" max="13583" width="23.28515625" style="3" bestFit="1" customWidth="1"/>
    <col min="13584" max="13585" width="16.28515625" style="3" customWidth="1"/>
    <col min="13586" max="13586" width="14.28515625" style="3" customWidth="1"/>
    <col min="13587" max="13587" width="14.7109375" style="3" bestFit="1" customWidth="1"/>
    <col min="13588" max="13588" width="13.7109375" style="3" customWidth="1"/>
    <col min="13589" max="13589" width="2.28515625" style="3" customWidth="1"/>
    <col min="13590" max="13591" width="13" style="3" customWidth="1"/>
    <col min="13592" max="13592" width="13.42578125" style="3" customWidth="1"/>
    <col min="13593" max="13593" width="14.140625" style="3" customWidth="1"/>
    <col min="13594" max="13594" width="13.5703125" style="3" customWidth="1"/>
    <col min="13595" max="13595" width="2.42578125" style="3" customWidth="1"/>
    <col min="13596" max="13596" width="15" style="3" bestFit="1" customWidth="1"/>
    <col min="13597" max="13597" width="4.5703125" style="3" customWidth="1"/>
    <col min="13598" max="13598" width="6.85546875" style="3" customWidth="1"/>
    <col min="13599" max="13599" width="14.28515625" style="3" bestFit="1" customWidth="1"/>
    <col min="13600" max="13600" width="12.5703125" style="3" bestFit="1" customWidth="1"/>
    <col min="13601" max="13601" width="17.28515625" style="3" customWidth="1"/>
    <col min="13602" max="13826" width="8.85546875" style="3"/>
    <col min="13827" max="13827" width="3.85546875" style="3" customWidth="1"/>
    <col min="13828" max="13828" width="2.7109375" style="3" customWidth="1"/>
    <col min="13829" max="13829" width="15.5703125" style="3" customWidth="1"/>
    <col min="13830" max="13830" width="1.85546875" style="3" customWidth="1"/>
    <col min="13831" max="13831" width="28.28515625" style="3" customWidth="1"/>
    <col min="13832" max="13832" width="3.28515625" style="3" customWidth="1"/>
    <col min="13833" max="13833" width="15.5703125" style="3" customWidth="1"/>
    <col min="13834" max="13834" width="3" style="3" customWidth="1"/>
    <col min="13835" max="13835" width="21.28515625" style="3" customWidth="1"/>
    <col min="13836" max="13836" width="2.85546875" style="3" customWidth="1"/>
    <col min="13837" max="13837" width="22.7109375" style="3" customWidth="1"/>
    <col min="13838" max="13838" width="3" style="3" customWidth="1"/>
    <col min="13839" max="13839" width="23.28515625" style="3" bestFit="1" customWidth="1"/>
    <col min="13840" max="13841" width="16.28515625" style="3" customWidth="1"/>
    <col min="13842" max="13842" width="14.28515625" style="3" customWidth="1"/>
    <col min="13843" max="13843" width="14.7109375" style="3" bestFit="1" customWidth="1"/>
    <col min="13844" max="13844" width="13.7109375" style="3" customWidth="1"/>
    <col min="13845" max="13845" width="2.28515625" style="3" customWidth="1"/>
    <col min="13846" max="13847" width="13" style="3" customWidth="1"/>
    <col min="13848" max="13848" width="13.42578125" style="3" customWidth="1"/>
    <col min="13849" max="13849" width="14.140625" style="3" customWidth="1"/>
    <col min="13850" max="13850" width="13.5703125" style="3" customWidth="1"/>
    <col min="13851" max="13851" width="2.42578125" style="3" customWidth="1"/>
    <col min="13852" max="13852" width="15" style="3" bestFit="1" customWidth="1"/>
    <col min="13853" max="13853" width="4.5703125" style="3" customWidth="1"/>
    <col min="13854" max="13854" width="6.85546875" style="3" customWidth="1"/>
    <col min="13855" max="13855" width="14.28515625" style="3" bestFit="1" customWidth="1"/>
    <col min="13856" max="13856" width="12.5703125" style="3" bestFit="1" customWidth="1"/>
    <col min="13857" max="13857" width="17.28515625" style="3" customWidth="1"/>
    <col min="13858" max="14082" width="8.85546875" style="3"/>
    <col min="14083" max="14083" width="3.85546875" style="3" customWidth="1"/>
    <col min="14084" max="14084" width="2.7109375" style="3" customWidth="1"/>
    <col min="14085" max="14085" width="15.5703125" style="3" customWidth="1"/>
    <col min="14086" max="14086" width="1.85546875" style="3" customWidth="1"/>
    <col min="14087" max="14087" width="28.28515625" style="3" customWidth="1"/>
    <col min="14088" max="14088" width="3.28515625" style="3" customWidth="1"/>
    <col min="14089" max="14089" width="15.5703125" style="3" customWidth="1"/>
    <col min="14090" max="14090" width="3" style="3" customWidth="1"/>
    <col min="14091" max="14091" width="21.28515625" style="3" customWidth="1"/>
    <col min="14092" max="14092" width="2.85546875" style="3" customWidth="1"/>
    <col min="14093" max="14093" width="22.7109375" style="3" customWidth="1"/>
    <col min="14094" max="14094" width="3" style="3" customWidth="1"/>
    <col min="14095" max="14095" width="23.28515625" style="3" bestFit="1" customWidth="1"/>
    <col min="14096" max="14097" width="16.28515625" style="3" customWidth="1"/>
    <col min="14098" max="14098" width="14.28515625" style="3" customWidth="1"/>
    <col min="14099" max="14099" width="14.7109375" style="3" bestFit="1" customWidth="1"/>
    <col min="14100" max="14100" width="13.7109375" style="3" customWidth="1"/>
    <col min="14101" max="14101" width="2.28515625" style="3" customWidth="1"/>
    <col min="14102" max="14103" width="13" style="3" customWidth="1"/>
    <col min="14104" max="14104" width="13.42578125" style="3" customWidth="1"/>
    <col min="14105" max="14105" width="14.140625" style="3" customWidth="1"/>
    <col min="14106" max="14106" width="13.5703125" style="3" customWidth="1"/>
    <col min="14107" max="14107" width="2.42578125" style="3" customWidth="1"/>
    <col min="14108" max="14108" width="15" style="3" bestFit="1" customWidth="1"/>
    <col min="14109" max="14109" width="4.5703125" style="3" customWidth="1"/>
    <col min="14110" max="14110" width="6.85546875" style="3" customWidth="1"/>
    <col min="14111" max="14111" width="14.28515625" style="3" bestFit="1" customWidth="1"/>
    <col min="14112" max="14112" width="12.5703125" style="3" bestFit="1" customWidth="1"/>
    <col min="14113" max="14113" width="17.28515625" style="3" customWidth="1"/>
    <col min="14114" max="14338" width="8.85546875" style="3"/>
    <col min="14339" max="14339" width="3.85546875" style="3" customWidth="1"/>
    <col min="14340" max="14340" width="2.7109375" style="3" customWidth="1"/>
    <col min="14341" max="14341" width="15.5703125" style="3" customWidth="1"/>
    <col min="14342" max="14342" width="1.85546875" style="3" customWidth="1"/>
    <col min="14343" max="14343" width="28.28515625" style="3" customWidth="1"/>
    <col min="14344" max="14344" width="3.28515625" style="3" customWidth="1"/>
    <col min="14345" max="14345" width="15.5703125" style="3" customWidth="1"/>
    <col min="14346" max="14346" width="3" style="3" customWidth="1"/>
    <col min="14347" max="14347" width="21.28515625" style="3" customWidth="1"/>
    <col min="14348" max="14348" width="2.85546875" style="3" customWidth="1"/>
    <col min="14349" max="14349" width="22.7109375" style="3" customWidth="1"/>
    <col min="14350" max="14350" width="3" style="3" customWidth="1"/>
    <col min="14351" max="14351" width="23.28515625" style="3" bestFit="1" customWidth="1"/>
    <col min="14352" max="14353" width="16.28515625" style="3" customWidth="1"/>
    <col min="14354" max="14354" width="14.28515625" style="3" customWidth="1"/>
    <col min="14355" max="14355" width="14.7109375" style="3" bestFit="1" customWidth="1"/>
    <col min="14356" max="14356" width="13.7109375" style="3" customWidth="1"/>
    <col min="14357" max="14357" width="2.28515625" style="3" customWidth="1"/>
    <col min="14358" max="14359" width="13" style="3" customWidth="1"/>
    <col min="14360" max="14360" width="13.42578125" style="3" customWidth="1"/>
    <col min="14361" max="14361" width="14.140625" style="3" customWidth="1"/>
    <col min="14362" max="14362" width="13.5703125" style="3" customWidth="1"/>
    <col min="14363" max="14363" width="2.42578125" style="3" customWidth="1"/>
    <col min="14364" max="14364" width="15" style="3" bestFit="1" customWidth="1"/>
    <col min="14365" max="14365" width="4.5703125" style="3" customWidth="1"/>
    <col min="14366" max="14366" width="6.85546875" style="3" customWidth="1"/>
    <col min="14367" max="14367" width="14.28515625" style="3" bestFit="1" customWidth="1"/>
    <col min="14368" max="14368" width="12.5703125" style="3" bestFit="1" customWidth="1"/>
    <col min="14369" max="14369" width="17.28515625" style="3" customWidth="1"/>
    <col min="14370" max="14594" width="8.85546875" style="3"/>
    <col min="14595" max="14595" width="3.85546875" style="3" customWidth="1"/>
    <col min="14596" max="14596" width="2.7109375" style="3" customWidth="1"/>
    <col min="14597" max="14597" width="15.5703125" style="3" customWidth="1"/>
    <col min="14598" max="14598" width="1.85546875" style="3" customWidth="1"/>
    <col min="14599" max="14599" width="28.28515625" style="3" customWidth="1"/>
    <col min="14600" max="14600" width="3.28515625" style="3" customWidth="1"/>
    <col min="14601" max="14601" width="15.5703125" style="3" customWidth="1"/>
    <col min="14602" max="14602" width="3" style="3" customWidth="1"/>
    <col min="14603" max="14603" width="21.28515625" style="3" customWidth="1"/>
    <col min="14604" max="14604" width="2.85546875" style="3" customWidth="1"/>
    <col min="14605" max="14605" width="22.7109375" style="3" customWidth="1"/>
    <col min="14606" max="14606" width="3" style="3" customWidth="1"/>
    <col min="14607" max="14607" width="23.28515625" style="3" bestFit="1" customWidth="1"/>
    <col min="14608" max="14609" width="16.28515625" style="3" customWidth="1"/>
    <col min="14610" max="14610" width="14.28515625" style="3" customWidth="1"/>
    <col min="14611" max="14611" width="14.7109375" style="3" bestFit="1" customWidth="1"/>
    <col min="14612" max="14612" width="13.7109375" style="3" customWidth="1"/>
    <col min="14613" max="14613" width="2.28515625" style="3" customWidth="1"/>
    <col min="14614" max="14615" width="13" style="3" customWidth="1"/>
    <col min="14616" max="14616" width="13.42578125" style="3" customWidth="1"/>
    <col min="14617" max="14617" width="14.140625" style="3" customWidth="1"/>
    <col min="14618" max="14618" width="13.5703125" style="3" customWidth="1"/>
    <col min="14619" max="14619" width="2.42578125" style="3" customWidth="1"/>
    <col min="14620" max="14620" width="15" style="3" bestFit="1" customWidth="1"/>
    <col min="14621" max="14621" width="4.5703125" style="3" customWidth="1"/>
    <col min="14622" max="14622" width="6.85546875" style="3" customWidth="1"/>
    <col min="14623" max="14623" width="14.28515625" style="3" bestFit="1" customWidth="1"/>
    <col min="14624" max="14624" width="12.5703125" style="3" bestFit="1" customWidth="1"/>
    <col min="14625" max="14625" width="17.28515625" style="3" customWidth="1"/>
    <col min="14626" max="14850" width="8.85546875" style="3"/>
    <col min="14851" max="14851" width="3.85546875" style="3" customWidth="1"/>
    <col min="14852" max="14852" width="2.7109375" style="3" customWidth="1"/>
    <col min="14853" max="14853" width="15.5703125" style="3" customWidth="1"/>
    <col min="14854" max="14854" width="1.85546875" style="3" customWidth="1"/>
    <col min="14855" max="14855" width="28.28515625" style="3" customWidth="1"/>
    <col min="14856" max="14856" width="3.28515625" style="3" customWidth="1"/>
    <col min="14857" max="14857" width="15.5703125" style="3" customWidth="1"/>
    <col min="14858" max="14858" width="3" style="3" customWidth="1"/>
    <col min="14859" max="14859" width="21.28515625" style="3" customWidth="1"/>
    <col min="14860" max="14860" width="2.85546875" style="3" customWidth="1"/>
    <col min="14861" max="14861" width="22.7109375" style="3" customWidth="1"/>
    <col min="14862" max="14862" width="3" style="3" customWidth="1"/>
    <col min="14863" max="14863" width="23.28515625" style="3" bestFit="1" customWidth="1"/>
    <col min="14864" max="14865" width="16.28515625" style="3" customWidth="1"/>
    <col min="14866" max="14866" width="14.28515625" style="3" customWidth="1"/>
    <col min="14867" max="14867" width="14.7109375" style="3" bestFit="1" customWidth="1"/>
    <col min="14868" max="14868" width="13.7109375" style="3" customWidth="1"/>
    <col min="14869" max="14869" width="2.28515625" style="3" customWidth="1"/>
    <col min="14870" max="14871" width="13" style="3" customWidth="1"/>
    <col min="14872" max="14872" width="13.42578125" style="3" customWidth="1"/>
    <col min="14873" max="14873" width="14.140625" style="3" customWidth="1"/>
    <col min="14874" max="14874" width="13.5703125" style="3" customWidth="1"/>
    <col min="14875" max="14875" width="2.42578125" style="3" customWidth="1"/>
    <col min="14876" max="14876" width="15" style="3" bestFit="1" customWidth="1"/>
    <col min="14877" max="14877" width="4.5703125" style="3" customWidth="1"/>
    <col min="14878" max="14878" width="6.85546875" style="3" customWidth="1"/>
    <col min="14879" max="14879" width="14.28515625" style="3" bestFit="1" customWidth="1"/>
    <col min="14880" max="14880" width="12.5703125" style="3" bestFit="1" customWidth="1"/>
    <col min="14881" max="14881" width="17.28515625" style="3" customWidth="1"/>
    <col min="14882" max="15106" width="8.85546875" style="3"/>
    <col min="15107" max="15107" width="3.85546875" style="3" customWidth="1"/>
    <col min="15108" max="15108" width="2.7109375" style="3" customWidth="1"/>
    <col min="15109" max="15109" width="15.5703125" style="3" customWidth="1"/>
    <col min="15110" max="15110" width="1.85546875" style="3" customWidth="1"/>
    <col min="15111" max="15111" width="28.28515625" style="3" customWidth="1"/>
    <col min="15112" max="15112" width="3.28515625" style="3" customWidth="1"/>
    <col min="15113" max="15113" width="15.5703125" style="3" customWidth="1"/>
    <col min="15114" max="15114" width="3" style="3" customWidth="1"/>
    <col min="15115" max="15115" width="21.28515625" style="3" customWidth="1"/>
    <col min="15116" max="15116" width="2.85546875" style="3" customWidth="1"/>
    <col min="15117" max="15117" width="22.7109375" style="3" customWidth="1"/>
    <col min="15118" max="15118" width="3" style="3" customWidth="1"/>
    <col min="15119" max="15119" width="23.28515625" style="3" bestFit="1" customWidth="1"/>
    <col min="15120" max="15121" width="16.28515625" style="3" customWidth="1"/>
    <col min="15122" max="15122" width="14.28515625" style="3" customWidth="1"/>
    <col min="15123" max="15123" width="14.7109375" style="3" bestFit="1" customWidth="1"/>
    <col min="15124" max="15124" width="13.7109375" style="3" customWidth="1"/>
    <col min="15125" max="15125" width="2.28515625" style="3" customWidth="1"/>
    <col min="15126" max="15127" width="13" style="3" customWidth="1"/>
    <col min="15128" max="15128" width="13.42578125" style="3" customWidth="1"/>
    <col min="15129" max="15129" width="14.140625" style="3" customWidth="1"/>
    <col min="15130" max="15130" width="13.5703125" style="3" customWidth="1"/>
    <col min="15131" max="15131" width="2.42578125" style="3" customWidth="1"/>
    <col min="15132" max="15132" width="15" style="3" bestFit="1" customWidth="1"/>
    <col min="15133" max="15133" width="4.5703125" style="3" customWidth="1"/>
    <col min="15134" max="15134" width="6.85546875" style="3" customWidth="1"/>
    <col min="15135" max="15135" width="14.28515625" style="3" bestFit="1" customWidth="1"/>
    <col min="15136" max="15136" width="12.5703125" style="3" bestFit="1" customWidth="1"/>
    <col min="15137" max="15137" width="17.28515625" style="3" customWidth="1"/>
    <col min="15138" max="15362" width="8.85546875" style="3"/>
    <col min="15363" max="15363" width="3.85546875" style="3" customWidth="1"/>
    <col min="15364" max="15364" width="2.7109375" style="3" customWidth="1"/>
    <col min="15365" max="15365" width="15.5703125" style="3" customWidth="1"/>
    <col min="15366" max="15366" width="1.85546875" style="3" customWidth="1"/>
    <col min="15367" max="15367" width="28.28515625" style="3" customWidth="1"/>
    <col min="15368" max="15368" width="3.28515625" style="3" customWidth="1"/>
    <col min="15369" max="15369" width="15.5703125" style="3" customWidth="1"/>
    <col min="15370" max="15370" width="3" style="3" customWidth="1"/>
    <col min="15371" max="15371" width="21.28515625" style="3" customWidth="1"/>
    <col min="15372" max="15372" width="2.85546875" style="3" customWidth="1"/>
    <col min="15373" max="15373" width="22.7109375" style="3" customWidth="1"/>
    <col min="15374" max="15374" width="3" style="3" customWidth="1"/>
    <col min="15375" max="15375" width="23.28515625" style="3" bestFit="1" customWidth="1"/>
    <col min="15376" max="15377" width="16.28515625" style="3" customWidth="1"/>
    <col min="15378" max="15378" width="14.28515625" style="3" customWidth="1"/>
    <col min="15379" max="15379" width="14.7109375" style="3" bestFit="1" customWidth="1"/>
    <col min="15380" max="15380" width="13.7109375" style="3" customWidth="1"/>
    <col min="15381" max="15381" width="2.28515625" style="3" customWidth="1"/>
    <col min="15382" max="15383" width="13" style="3" customWidth="1"/>
    <col min="15384" max="15384" width="13.42578125" style="3" customWidth="1"/>
    <col min="15385" max="15385" width="14.140625" style="3" customWidth="1"/>
    <col min="15386" max="15386" width="13.5703125" style="3" customWidth="1"/>
    <col min="15387" max="15387" width="2.42578125" style="3" customWidth="1"/>
    <col min="15388" max="15388" width="15" style="3" bestFit="1" customWidth="1"/>
    <col min="15389" max="15389" width="4.5703125" style="3" customWidth="1"/>
    <col min="15390" max="15390" width="6.85546875" style="3" customWidth="1"/>
    <col min="15391" max="15391" width="14.28515625" style="3" bestFit="1" customWidth="1"/>
    <col min="15392" max="15392" width="12.5703125" style="3" bestFit="1" customWidth="1"/>
    <col min="15393" max="15393" width="17.28515625" style="3" customWidth="1"/>
    <col min="15394" max="15618" width="8.85546875" style="3"/>
    <col min="15619" max="15619" width="3.85546875" style="3" customWidth="1"/>
    <col min="15620" max="15620" width="2.7109375" style="3" customWidth="1"/>
    <col min="15621" max="15621" width="15.5703125" style="3" customWidth="1"/>
    <col min="15622" max="15622" width="1.85546875" style="3" customWidth="1"/>
    <col min="15623" max="15623" width="28.28515625" style="3" customWidth="1"/>
    <col min="15624" max="15624" width="3.28515625" style="3" customWidth="1"/>
    <col min="15625" max="15625" width="15.5703125" style="3" customWidth="1"/>
    <col min="15626" max="15626" width="3" style="3" customWidth="1"/>
    <col min="15627" max="15627" width="21.28515625" style="3" customWidth="1"/>
    <col min="15628" max="15628" width="2.85546875" style="3" customWidth="1"/>
    <col min="15629" max="15629" width="22.7109375" style="3" customWidth="1"/>
    <col min="15630" max="15630" width="3" style="3" customWidth="1"/>
    <col min="15631" max="15631" width="23.28515625" style="3" bestFit="1" customWidth="1"/>
    <col min="15632" max="15633" width="16.28515625" style="3" customWidth="1"/>
    <col min="15634" max="15634" width="14.28515625" style="3" customWidth="1"/>
    <col min="15635" max="15635" width="14.7109375" style="3" bestFit="1" customWidth="1"/>
    <col min="15636" max="15636" width="13.7109375" style="3" customWidth="1"/>
    <col min="15637" max="15637" width="2.28515625" style="3" customWidth="1"/>
    <col min="15638" max="15639" width="13" style="3" customWidth="1"/>
    <col min="15640" max="15640" width="13.42578125" style="3" customWidth="1"/>
    <col min="15641" max="15641" width="14.140625" style="3" customWidth="1"/>
    <col min="15642" max="15642" width="13.5703125" style="3" customWidth="1"/>
    <col min="15643" max="15643" width="2.42578125" style="3" customWidth="1"/>
    <col min="15644" max="15644" width="15" style="3" bestFit="1" customWidth="1"/>
    <col min="15645" max="15645" width="4.5703125" style="3" customWidth="1"/>
    <col min="15646" max="15646" width="6.85546875" style="3" customWidth="1"/>
    <col min="15647" max="15647" width="14.28515625" style="3" bestFit="1" customWidth="1"/>
    <col min="15648" max="15648" width="12.5703125" style="3" bestFit="1" customWidth="1"/>
    <col min="15649" max="15649" width="17.28515625" style="3" customWidth="1"/>
    <col min="15650" max="15874" width="8.85546875" style="3"/>
    <col min="15875" max="15875" width="3.85546875" style="3" customWidth="1"/>
    <col min="15876" max="15876" width="2.7109375" style="3" customWidth="1"/>
    <col min="15877" max="15877" width="15.5703125" style="3" customWidth="1"/>
    <col min="15878" max="15878" width="1.85546875" style="3" customWidth="1"/>
    <col min="15879" max="15879" width="28.28515625" style="3" customWidth="1"/>
    <col min="15880" max="15880" width="3.28515625" style="3" customWidth="1"/>
    <col min="15881" max="15881" width="15.5703125" style="3" customWidth="1"/>
    <col min="15882" max="15882" width="3" style="3" customWidth="1"/>
    <col min="15883" max="15883" width="21.28515625" style="3" customWidth="1"/>
    <col min="15884" max="15884" width="2.85546875" style="3" customWidth="1"/>
    <col min="15885" max="15885" width="22.7109375" style="3" customWidth="1"/>
    <col min="15886" max="15886" width="3" style="3" customWidth="1"/>
    <col min="15887" max="15887" width="23.28515625" style="3" bestFit="1" customWidth="1"/>
    <col min="15888" max="15889" width="16.28515625" style="3" customWidth="1"/>
    <col min="15890" max="15890" width="14.28515625" style="3" customWidth="1"/>
    <col min="15891" max="15891" width="14.7109375" style="3" bestFit="1" customWidth="1"/>
    <col min="15892" max="15892" width="13.7109375" style="3" customWidth="1"/>
    <col min="15893" max="15893" width="2.28515625" style="3" customWidth="1"/>
    <col min="15894" max="15895" width="13" style="3" customWidth="1"/>
    <col min="15896" max="15896" width="13.42578125" style="3" customWidth="1"/>
    <col min="15897" max="15897" width="14.140625" style="3" customWidth="1"/>
    <col min="15898" max="15898" width="13.5703125" style="3" customWidth="1"/>
    <col min="15899" max="15899" width="2.42578125" style="3" customWidth="1"/>
    <col min="15900" max="15900" width="15" style="3" bestFit="1" customWidth="1"/>
    <col min="15901" max="15901" width="4.5703125" style="3" customWidth="1"/>
    <col min="15902" max="15902" width="6.85546875" style="3" customWidth="1"/>
    <col min="15903" max="15903" width="14.28515625" style="3" bestFit="1" customWidth="1"/>
    <col min="15904" max="15904" width="12.5703125" style="3" bestFit="1" customWidth="1"/>
    <col min="15905" max="15905" width="17.28515625" style="3" customWidth="1"/>
    <col min="15906" max="16130" width="8.85546875" style="3"/>
    <col min="16131" max="16131" width="3.85546875" style="3" customWidth="1"/>
    <col min="16132" max="16132" width="2.7109375" style="3" customWidth="1"/>
    <col min="16133" max="16133" width="15.5703125" style="3" customWidth="1"/>
    <col min="16134" max="16134" width="1.85546875" style="3" customWidth="1"/>
    <col min="16135" max="16135" width="28.28515625" style="3" customWidth="1"/>
    <col min="16136" max="16136" width="3.28515625" style="3" customWidth="1"/>
    <col min="16137" max="16137" width="15.5703125" style="3" customWidth="1"/>
    <col min="16138" max="16138" width="3" style="3" customWidth="1"/>
    <col min="16139" max="16139" width="21.28515625" style="3" customWidth="1"/>
    <col min="16140" max="16140" width="2.85546875" style="3" customWidth="1"/>
    <col min="16141" max="16141" width="22.7109375" style="3" customWidth="1"/>
    <col min="16142" max="16142" width="3" style="3" customWidth="1"/>
    <col min="16143" max="16143" width="23.28515625" style="3" bestFit="1" customWidth="1"/>
    <col min="16144" max="16145" width="16.28515625" style="3" customWidth="1"/>
    <col min="16146" max="16146" width="14.28515625" style="3" customWidth="1"/>
    <col min="16147" max="16147" width="14.7109375" style="3" bestFit="1" customWidth="1"/>
    <col min="16148" max="16148" width="13.7109375" style="3" customWidth="1"/>
    <col min="16149" max="16149" width="2.28515625" style="3" customWidth="1"/>
    <col min="16150" max="16151" width="13" style="3" customWidth="1"/>
    <col min="16152" max="16152" width="13.42578125" style="3" customWidth="1"/>
    <col min="16153" max="16153" width="14.140625" style="3" customWidth="1"/>
    <col min="16154" max="16154" width="13.5703125" style="3" customWidth="1"/>
    <col min="16155" max="16155" width="2.42578125" style="3" customWidth="1"/>
    <col min="16156" max="16156" width="15" style="3" bestFit="1" customWidth="1"/>
    <col min="16157" max="16157" width="4.5703125" style="3" customWidth="1"/>
    <col min="16158" max="16158" width="6.85546875" style="3" customWidth="1"/>
    <col min="16159" max="16159" width="14.28515625" style="3" bestFit="1" customWidth="1"/>
    <col min="16160" max="16160" width="12.5703125" style="3" bestFit="1" customWidth="1"/>
    <col min="16161" max="16161" width="17.28515625" style="3" customWidth="1"/>
    <col min="16162" max="16384" width="8.85546875" style="3"/>
  </cols>
  <sheetData>
    <row r="1" spans="1:15" x14ac:dyDescent="0.35">
      <c r="J1" s="18"/>
      <c r="N1" s="19"/>
    </row>
    <row r="2" spans="1:15" x14ac:dyDescent="0.35">
      <c r="A2" s="67" t="s">
        <v>16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25"/>
      <c r="N2" s="19"/>
    </row>
    <row r="3" spans="1:15" x14ac:dyDescent="0.35">
      <c r="A3" s="68"/>
      <c r="B3" s="68"/>
      <c r="C3" s="68"/>
      <c r="D3" s="26"/>
      <c r="E3" s="25"/>
      <c r="F3" s="68"/>
      <c r="G3" s="68"/>
      <c r="H3" s="42"/>
      <c r="I3" s="42"/>
      <c r="J3" s="27"/>
      <c r="K3" s="25"/>
      <c r="L3" s="27"/>
      <c r="M3" s="25"/>
      <c r="N3" s="19"/>
    </row>
    <row r="4" spans="1:15" x14ac:dyDescent="0.35">
      <c r="A4" s="67" t="s">
        <v>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24"/>
      <c r="N4" s="19"/>
    </row>
    <row r="5" spans="1:15" x14ac:dyDescent="0.35">
      <c r="A5" s="69" t="s">
        <v>17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7"/>
      <c r="N5" s="19"/>
    </row>
    <row r="6" spans="1:15" x14ac:dyDescent="0.35">
      <c r="A6" s="69" t="s">
        <v>18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7"/>
      <c r="N6" s="19"/>
    </row>
    <row r="7" spans="1:15" x14ac:dyDescent="0.35">
      <c r="A7" s="67" t="s">
        <v>19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25"/>
      <c r="N7" s="19"/>
    </row>
    <row r="8" spans="1:15" x14ac:dyDescent="0.35">
      <c r="A8" s="67" t="s">
        <v>30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24"/>
      <c r="N8" s="19"/>
    </row>
    <row r="9" spans="1:15" x14ac:dyDescent="0.35">
      <c r="A9" s="24"/>
      <c r="B9" s="24"/>
      <c r="C9" s="24"/>
      <c r="D9" s="24"/>
      <c r="E9" s="24"/>
      <c r="F9" s="24"/>
      <c r="G9" s="24"/>
      <c r="H9" s="41"/>
      <c r="I9" s="41"/>
      <c r="J9" s="24"/>
      <c r="K9" s="24"/>
      <c r="L9" s="24"/>
      <c r="M9" s="24"/>
      <c r="N9" s="19"/>
    </row>
    <row r="10" spans="1:15" ht="16.5" customHeight="1" x14ac:dyDescent="0.35">
      <c r="A10" s="70" t="s">
        <v>2</v>
      </c>
      <c r="B10" s="70"/>
      <c r="C10" s="70"/>
      <c r="D10" s="29" t="s">
        <v>1</v>
      </c>
      <c r="E10" s="72" t="s">
        <v>3</v>
      </c>
      <c r="F10" s="72"/>
      <c r="G10" s="72"/>
      <c r="H10" s="72"/>
      <c r="I10" s="72"/>
      <c r="J10" s="72"/>
      <c r="K10" s="72"/>
      <c r="L10" s="72"/>
      <c r="M10" s="63"/>
      <c r="N10" s="63"/>
      <c r="O10" s="63"/>
    </row>
    <row r="11" spans="1:15" x14ac:dyDescent="0.35">
      <c r="A11" s="71" t="s">
        <v>4</v>
      </c>
      <c r="B11" s="71"/>
      <c r="C11" s="71"/>
      <c r="D11" s="26" t="s">
        <v>1</v>
      </c>
      <c r="E11" s="17" t="s">
        <v>5</v>
      </c>
      <c r="F11" s="11"/>
      <c r="G11" s="11"/>
      <c r="H11" s="11"/>
      <c r="I11" s="11"/>
      <c r="J11" s="23"/>
      <c r="K11" s="22"/>
      <c r="L11" s="20"/>
      <c r="M11" s="16"/>
      <c r="N11" s="16"/>
      <c r="O11" s="13"/>
    </row>
    <row r="12" spans="1:15" x14ac:dyDescent="0.35">
      <c r="A12" s="71" t="s">
        <v>6</v>
      </c>
      <c r="B12" s="71"/>
      <c r="C12" s="71"/>
      <c r="D12" s="26" t="s">
        <v>1</v>
      </c>
      <c r="E12" s="11" t="s">
        <v>31</v>
      </c>
      <c r="F12" s="11"/>
      <c r="G12" s="11"/>
      <c r="H12" s="11"/>
      <c r="I12" s="11"/>
      <c r="J12" s="23"/>
      <c r="K12" s="22"/>
      <c r="L12" s="20"/>
      <c r="M12" s="16"/>
      <c r="N12" s="16"/>
      <c r="O12" s="13"/>
    </row>
    <row r="13" spans="1:15" x14ac:dyDescent="0.35">
      <c r="A13" s="71" t="s">
        <v>7</v>
      </c>
      <c r="B13" s="71"/>
      <c r="C13" s="71"/>
      <c r="D13" s="26" t="s">
        <v>1</v>
      </c>
      <c r="E13" s="11" t="s">
        <v>8</v>
      </c>
      <c r="F13" s="11"/>
      <c r="G13" s="11"/>
      <c r="H13" s="11"/>
      <c r="I13" s="11"/>
      <c r="J13" s="23"/>
      <c r="K13" s="22"/>
      <c r="L13" s="20"/>
      <c r="M13" s="16"/>
      <c r="N13" s="16"/>
      <c r="O13" s="13"/>
    </row>
    <row r="14" spans="1:15" x14ac:dyDescent="0.35">
      <c r="A14" s="71" t="s">
        <v>9</v>
      </c>
      <c r="B14" s="71"/>
      <c r="C14" s="71"/>
      <c r="D14" s="26" t="s">
        <v>1</v>
      </c>
      <c r="E14" s="11" t="s">
        <v>10</v>
      </c>
      <c r="F14" s="11"/>
      <c r="G14" s="11"/>
      <c r="H14" s="11"/>
      <c r="I14" s="11"/>
      <c r="J14" s="23"/>
      <c r="K14" s="22"/>
      <c r="L14" s="20"/>
      <c r="M14" s="16"/>
      <c r="N14" s="16"/>
      <c r="O14" s="13"/>
    </row>
    <row r="15" spans="1:15" x14ac:dyDescent="0.35">
      <c r="A15" s="68" t="s">
        <v>20</v>
      </c>
      <c r="B15" s="68"/>
      <c r="C15" s="68"/>
      <c r="D15" s="26" t="s">
        <v>1</v>
      </c>
      <c r="E15" s="66">
        <v>5240000</v>
      </c>
      <c r="F15" s="11"/>
      <c r="G15" s="11"/>
      <c r="H15" s="11"/>
      <c r="I15" s="11"/>
      <c r="J15" s="23"/>
      <c r="K15" s="22"/>
      <c r="L15" s="20"/>
      <c r="M15" s="16"/>
      <c r="N15" s="16"/>
      <c r="O15" s="13"/>
    </row>
    <row r="16" spans="1:15" x14ac:dyDescent="0.35">
      <c r="A16" s="42"/>
      <c r="B16" s="42"/>
      <c r="C16" s="42"/>
      <c r="D16" s="26"/>
      <c r="E16" s="44"/>
      <c r="F16" s="11"/>
      <c r="G16" s="11"/>
      <c r="H16" s="11"/>
      <c r="I16" s="49" t="s">
        <v>52</v>
      </c>
      <c r="J16" s="23"/>
      <c r="K16" s="41" t="s">
        <v>51</v>
      </c>
      <c r="L16" s="20"/>
      <c r="M16" s="16"/>
      <c r="N16" s="16"/>
      <c r="O16" s="13"/>
    </row>
    <row r="17" spans="1:29" x14ac:dyDescent="0.35">
      <c r="A17" s="42"/>
      <c r="B17" s="42"/>
      <c r="C17" s="42"/>
      <c r="D17" s="26"/>
      <c r="E17" s="44"/>
      <c r="F17" s="11"/>
      <c r="G17" s="11"/>
      <c r="H17" s="11"/>
      <c r="I17" s="49" t="s">
        <v>53</v>
      </c>
      <c r="J17" s="23"/>
      <c r="K17" s="22"/>
      <c r="L17" s="20"/>
      <c r="M17" s="16"/>
      <c r="N17" s="16"/>
      <c r="O17" s="13"/>
    </row>
    <row r="18" spans="1:29" x14ac:dyDescent="0.35">
      <c r="A18" s="43"/>
      <c r="B18" s="50" t="s">
        <v>54</v>
      </c>
      <c r="C18" s="50"/>
      <c r="D18" s="26"/>
      <c r="E18" s="44"/>
      <c r="F18" s="11"/>
      <c r="G18" s="11"/>
      <c r="H18" s="11"/>
      <c r="I18" s="11"/>
      <c r="J18" s="23"/>
      <c r="K18" s="22"/>
      <c r="L18" s="20"/>
      <c r="M18" s="16"/>
      <c r="N18" s="16"/>
      <c r="O18" s="13"/>
    </row>
    <row r="19" spans="1:29" x14ac:dyDescent="0.35">
      <c r="B19" s="52" t="s">
        <v>61</v>
      </c>
      <c r="H19" s="53"/>
      <c r="I19" s="7"/>
      <c r="J19" s="54"/>
      <c r="K19" s="58"/>
      <c r="L19" s="55"/>
      <c r="M19" s="10"/>
      <c r="N19" s="1"/>
      <c r="O19" s="1"/>
      <c r="T19" s="2"/>
      <c r="U19" s="2"/>
      <c r="V19" s="3"/>
      <c r="W19" s="3"/>
      <c r="Z19" s="57"/>
      <c r="AA19" s="56"/>
      <c r="AB19" s="3"/>
      <c r="AC19" s="3"/>
    </row>
    <row r="20" spans="1:29" x14ac:dyDescent="0.35">
      <c r="B20" s="4" t="s">
        <v>55</v>
      </c>
      <c r="H20" s="53"/>
      <c r="I20" s="7"/>
      <c r="J20" s="54"/>
      <c r="K20" s="58"/>
      <c r="L20" s="55"/>
      <c r="M20" s="10"/>
      <c r="N20" s="1"/>
      <c r="O20" s="1"/>
      <c r="T20" s="2"/>
      <c r="U20" s="2"/>
      <c r="V20" s="3"/>
      <c r="W20" s="3"/>
      <c r="Z20" s="57"/>
      <c r="AA20" s="56"/>
      <c r="AB20" s="3"/>
      <c r="AC20" s="3"/>
    </row>
    <row r="21" spans="1:29" x14ac:dyDescent="0.35">
      <c r="B21" s="3" t="s">
        <v>62</v>
      </c>
      <c r="H21" s="53"/>
      <c r="I21" s="14">
        <v>40000</v>
      </c>
      <c r="J21" s="54"/>
      <c r="K21" s="58"/>
      <c r="L21" s="55"/>
      <c r="M21" s="10"/>
      <c r="N21" s="1"/>
      <c r="O21" s="1"/>
      <c r="T21" s="2"/>
      <c r="U21" s="2"/>
      <c r="V21" s="3"/>
      <c r="W21" s="3"/>
      <c r="Z21" s="57"/>
      <c r="AA21" s="56"/>
      <c r="AB21" s="3"/>
      <c r="AC21" s="3"/>
    </row>
    <row r="22" spans="1:29" s="59" customFormat="1" ht="14.25" x14ac:dyDescent="0.2">
      <c r="B22" s="60" t="s">
        <v>56</v>
      </c>
      <c r="C22" s="60"/>
      <c r="H22" s="61"/>
      <c r="L22" s="62"/>
      <c r="M22" s="62"/>
    </row>
    <row r="23" spans="1:29" s="59" customFormat="1" ht="14.25" x14ac:dyDescent="0.2">
      <c r="B23" s="60"/>
      <c r="C23" s="60" t="s">
        <v>59</v>
      </c>
      <c r="H23" s="61"/>
      <c r="I23" s="64">
        <v>50000</v>
      </c>
      <c r="L23" s="62"/>
      <c r="M23" s="62"/>
    </row>
    <row r="24" spans="1:29" s="59" customFormat="1" ht="14.25" x14ac:dyDescent="0.2">
      <c r="B24" s="60"/>
      <c r="C24" s="60" t="s">
        <v>60</v>
      </c>
      <c r="H24" s="61"/>
      <c r="I24" s="64">
        <v>43360</v>
      </c>
      <c r="L24" s="62"/>
      <c r="M24" s="62"/>
    </row>
    <row r="25" spans="1:29" s="59" customFormat="1" ht="14.25" x14ac:dyDescent="0.2">
      <c r="B25" s="60" t="s">
        <v>57</v>
      </c>
      <c r="C25" s="60"/>
      <c r="H25" s="61"/>
      <c r="I25" s="64">
        <v>20000</v>
      </c>
      <c r="L25" s="62"/>
      <c r="M25" s="62"/>
    </row>
    <row r="26" spans="1:29" s="59" customFormat="1" ht="14.25" x14ac:dyDescent="0.2">
      <c r="B26" s="60" t="s">
        <v>63</v>
      </c>
      <c r="C26" s="60"/>
      <c r="H26" s="61"/>
      <c r="I26" s="64">
        <f>14720*12</f>
        <v>176640</v>
      </c>
      <c r="L26" s="62"/>
      <c r="M26" s="62"/>
    </row>
    <row r="27" spans="1:29" x14ac:dyDescent="0.35">
      <c r="A27" s="42"/>
      <c r="B27" s="42"/>
      <c r="C27" s="42"/>
      <c r="D27" s="26"/>
      <c r="E27" s="51" t="s">
        <v>58</v>
      </c>
      <c r="F27" s="11"/>
      <c r="G27" s="11"/>
      <c r="H27" s="11"/>
      <c r="I27" s="65">
        <f>SUM(I21:I26)</f>
        <v>330000</v>
      </c>
      <c r="J27" s="23"/>
      <c r="K27" s="22"/>
      <c r="L27" s="20"/>
      <c r="M27" s="16"/>
      <c r="N27" s="16"/>
      <c r="O27" s="13"/>
    </row>
    <row r="28" spans="1:29" x14ac:dyDescent="0.35">
      <c r="A28" s="68"/>
      <c r="B28" s="68"/>
      <c r="C28" s="68"/>
      <c r="D28" s="26"/>
      <c r="E28" s="25"/>
      <c r="F28" s="26"/>
      <c r="G28" s="26"/>
      <c r="H28" s="26"/>
      <c r="I28" s="26"/>
      <c r="J28" s="26"/>
      <c r="K28" s="24" t="s">
        <v>51</v>
      </c>
      <c r="L28" s="26"/>
      <c r="M28" s="25"/>
      <c r="N28" s="19"/>
    </row>
    <row r="29" spans="1:29" x14ac:dyDescent="0.35">
      <c r="A29" s="28"/>
      <c r="B29" s="73" t="s">
        <v>11</v>
      </c>
      <c r="C29" s="73"/>
      <c r="D29" s="26"/>
      <c r="E29" s="25"/>
      <c r="F29" s="26"/>
      <c r="G29" s="26"/>
      <c r="H29" s="26"/>
      <c r="I29" s="26"/>
      <c r="J29" s="26"/>
      <c r="K29" s="25"/>
      <c r="L29" s="26"/>
      <c r="M29" s="25"/>
      <c r="N29" s="19"/>
    </row>
    <row r="30" spans="1:29" x14ac:dyDescent="0.35">
      <c r="A30" s="28"/>
      <c r="B30" s="12" t="s">
        <v>34</v>
      </c>
      <c r="C30" s="5"/>
      <c r="D30" s="3"/>
      <c r="E30" s="5"/>
      <c r="F30" s="5"/>
      <c r="G30" s="26"/>
      <c r="H30" s="26" t="s">
        <v>13</v>
      </c>
      <c r="I30" s="26"/>
      <c r="J30" s="26" t="s">
        <v>13</v>
      </c>
      <c r="K30" s="14">
        <v>150000</v>
      </c>
      <c r="L30" s="45"/>
      <c r="M30" s="25"/>
      <c r="N30" s="19"/>
    </row>
    <row r="31" spans="1:29" x14ac:dyDescent="0.35">
      <c r="A31" s="28"/>
      <c r="B31" s="12" t="s">
        <v>50</v>
      </c>
      <c r="C31" s="5"/>
      <c r="D31" s="3"/>
      <c r="E31" s="5"/>
      <c r="F31" s="5"/>
      <c r="G31" s="26"/>
      <c r="H31" s="26"/>
      <c r="I31" s="26"/>
      <c r="J31" s="26"/>
      <c r="K31" s="14">
        <v>70000</v>
      </c>
      <c r="L31" s="45"/>
      <c r="M31" s="25"/>
      <c r="N31" s="19"/>
    </row>
    <row r="32" spans="1:29" x14ac:dyDescent="0.35">
      <c r="A32" s="28"/>
      <c r="B32" s="12" t="s">
        <v>35</v>
      </c>
      <c r="C32" s="5"/>
      <c r="D32" s="3"/>
      <c r="E32" s="5"/>
      <c r="F32" s="5"/>
      <c r="G32" s="26"/>
      <c r="H32" s="26"/>
      <c r="I32" s="26"/>
      <c r="J32" s="26"/>
      <c r="K32" s="14">
        <v>300000</v>
      </c>
      <c r="L32" s="45"/>
      <c r="M32" s="25"/>
      <c r="N32" s="19"/>
    </row>
    <row r="33" spans="1:256" x14ac:dyDescent="0.35">
      <c r="A33" s="28"/>
      <c r="B33" s="12" t="s">
        <v>36</v>
      </c>
      <c r="C33" s="5"/>
      <c r="D33" s="3"/>
      <c r="E33" s="5"/>
      <c r="F33" s="5"/>
      <c r="G33" s="26"/>
      <c r="H33" s="26"/>
      <c r="I33" s="26"/>
      <c r="J33" s="26"/>
      <c r="K33" s="14">
        <v>500000</v>
      </c>
      <c r="L33" s="45"/>
      <c r="M33" s="25"/>
      <c r="N33" s="19"/>
    </row>
    <row r="34" spans="1:256" x14ac:dyDescent="0.35">
      <c r="A34" s="28"/>
      <c r="B34" s="12" t="s">
        <v>37</v>
      </c>
      <c r="C34" s="5"/>
      <c r="D34" s="3"/>
      <c r="E34" s="5"/>
      <c r="F34" s="5"/>
      <c r="G34" s="26"/>
      <c r="H34" s="26"/>
      <c r="I34" s="26"/>
      <c r="J34" s="26"/>
      <c r="K34" s="14">
        <v>200000</v>
      </c>
      <c r="L34" s="45"/>
      <c r="M34" s="25"/>
      <c r="N34" s="19"/>
    </row>
    <row r="35" spans="1:256" x14ac:dyDescent="0.35">
      <c r="A35" s="28"/>
      <c r="B35" s="12" t="s">
        <v>38</v>
      </c>
      <c r="C35" s="5"/>
      <c r="D35" s="3"/>
      <c r="E35" s="5"/>
      <c r="F35" s="5"/>
      <c r="G35" s="26"/>
      <c r="H35" s="26"/>
      <c r="I35" s="26"/>
      <c r="J35" s="26"/>
      <c r="K35" s="14">
        <v>50000</v>
      </c>
      <c r="L35" s="45"/>
      <c r="M35" s="25"/>
      <c r="N35" s="19"/>
    </row>
    <row r="36" spans="1:256" x14ac:dyDescent="0.35">
      <c r="A36" s="28"/>
      <c r="B36" s="12" t="s">
        <v>39</v>
      </c>
      <c r="C36" s="5"/>
      <c r="D36" s="3"/>
      <c r="E36" s="5"/>
      <c r="F36" s="5"/>
      <c r="G36" s="26"/>
      <c r="H36" s="26"/>
      <c r="I36" s="26"/>
      <c r="J36" s="26"/>
      <c r="K36" s="14">
        <v>60000</v>
      </c>
      <c r="L36" s="45"/>
      <c r="M36" s="25"/>
      <c r="N36" s="19"/>
    </row>
    <row r="37" spans="1:256" x14ac:dyDescent="0.35">
      <c r="A37" s="28"/>
      <c r="B37" s="12" t="s">
        <v>40</v>
      </c>
      <c r="C37" s="5"/>
      <c r="D37" s="3"/>
      <c r="E37" s="5"/>
      <c r="F37" s="5"/>
      <c r="G37" s="26"/>
      <c r="H37" s="26"/>
      <c r="I37" s="26"/>
      <c r="J37" s="26"/>
      <c r="K37" s="14">
        <v>400000</v>
      </c>
      <c r="L37" s="45"/>
      <c r="M37" s="25"/>
      <c r="N37" s="19"/>
    </row>
    <row r="38" spans="1:256" x14ac:dyDescent="0.35">
      <c r="A38" s="28"/>
      <c r="B38" s="12" t="s">
        <v>41</v>
      </c>
      <c r="C38" s="5"/>
      <c r="D38" s="3"/>
      <c r="E38" s="5"/>
      <c r="F38" s="5"/>
      <c r="G38" s="26"/>
      <c r="H38" s="26"/>
      <c r="I38" s="26"/>
      <c r="J38" s="26"/>
      <c r="K38" s="14">
        <v>70000</v>
      </c>
      <c r="L38" s="45"/>
      <c r="M38" s="25"/>
      <c r="N38" s="19"/>
    </row>
    <row r="39" spans="1:256" x14ac:dyDescent="0.35">
      <c r="A39" s="28"/>
      <c r="B39" s="12" t="s">
        <v>42</v>
      </c>
      <c r="C39" s="5"/>
      <c r="D39" s="3"/>
      <c r="E39" s="5"/>
      <c r="F39" s="5"/>
      <c r="G39" s="26"/>
      <c r="H39" s="26"/>
      <c r="I39" s="26"/>
      <c r="J39" s="26"/>
      <c r="K39" s="14">
        <v>100000</v>
      </c>
      <c r="L39" s="45"/>
      <c r="M39" s="25"/>
      <c r="N39" s="19"/>
    </row>
    <row r="40" spans="1:256" x14ac:dyDescent="0.35">
      <c r="A40" s="28"/>
      <c r="B40" s="12" t="s">
        <v>43</v>
      </c>
      <c r="C40" s="5"/>
      <c r="D40" s="3"/>
      <c r="E40" s="5"/>
      <c r="F40" s="5"/>
      <c r="G40" s="26"/>
      <c r="H40" s="26"/>
      <c r="I40" s="26"/>
      <c r="J40" s="26"/>
      <c r="K40" s="14">
        <v>800000</v>
      </c>
      <c r="L40" s="45"/>
      <c r="M40" s="25"/>
      <c r="N40" s="19"/>
    </row>
    <row r="41" spans="1:256" x14ac:dyDescent="0.35">
      <c r="A41" s="28"/>
      <c r="B41" s="12" t="s">
        <v>44</v>
      </c>
      <c r="C41" s="5"/>
      <c r="D41" s="3"/>
      <c r="E41" s="5"/>
      <c r="F41" s="5"/>
      <c r="G41" s="26"/>
      <c r="H41" s="26"/>
      <c r="I41" s="26"/>
      <c r="J41" s="26"/>
      <c r="K41" s="14">
        <v>60000</v>
      </c>
      <c r="L41" s="45"/>
      <c r="M41" s="25"/>
      <c r="N41" s="19"/>
    </row>
    <row r="42" spans="1:256" s="11" customFormat="1" x14ac:dyDescent="0.35">
      <c r="A42" s="28"/>
      <c r="B42" s="12" t="s">
        <v>45</v>
      </c>
      <c r="C42" s="5"/>
      <c r="D42" s="3"/>
      <c r="E42" s="5"/>
      <c r="F42" s="5"/>
      <c r="G42" s="26"/>
      <c r="H42" s="26"/>
      <c r="I42" s="26"/>
      <c r="J42" s="26"/>
      <c r="K42" s="14">
        <v>300000</v>
      </c>
      <c r="L42" s="45"/>
      <c r="M42" s="25"/>
      <c r="N42" s="19"/>
      <c r="O42" s="10"/>
      <c r="P42" s="1"/>
      <c r="Q42" s="1"/>
      <c r="R42" s="1"/>
      <c r="S42" s="1"/>
      <c r="T42" s="1"/>
      <c r="U42" s="1"/>
      <c r="V42" s="2"/>
      <c r="W42" s="2"/>
      <c r="X42" s="3"/>
      <c r="Y42" s="3"/>
      <c r="Z42" s="3"/>
      <c r="AA42" s="3"/>
      <c r="AB42" s="4"/>
      <c r="AC42" s="4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 x14ac:dyDescent="0.35">
      <c r="A43" s="28"/>
      <c r="B43" s="48" t="s">
        <v>46</v>
      </c>
      <c r="C43" s="48"/>
      <c r="D43" s="48"/>
      <c r="E43" s="48"/>
      <c r="F43" s="48"/>
      <c r="G43" s="26"/>
      <c r="H43" s="26"/>
      <c r="I43" s="26"/>
      <c r="J43" s="26"/>
      <c r="K43" s="14">
        <v>700000</v>
      </c>
      <c r="L43" s="45"/>
      <c r="M43" s="25"/>
      <c r="N43" s="19"/>
    </row>
    <row r="44" spans="1:256" x14ac:dyDescent="0.35">
      <c r="A44" s="28"/>
      <c r="B44" s="12" t="s">
        <v>47</v>
      </c>
      <c r="C44" s="5"/>
      <c r="D44" s="3"/>
      <c r="E44" s="5"/>
      <c r="F44" s="5"/>
      <c r="G44" s="26"/>
      <c r="H44" s="26"/>
      <c r="I44" s="26"/>
      <c r="J44" s="26"/>
      <c r="K44" s="14">
        <v>500000</v>
      </c>
      <c r="L44" s="45"/>
      <c r="M44" s="25"/>
      <c r="N44" s="19"/>
    </row>
    <row r="45" spans="1:256" x14ac:dyDescent="0.35">
      <c r="A45" s="28"/>
      <c r="B45" s="12" t="s">
        <v>48</v>
      </c>
      <c r="C45" s="5"/>
      <c r="D45" s="3"/>
      <c r="E45" s="5"/>
      <c r="F45" s="5"/>
      <c r="G45" s="26"/>
      <c r="H45" s="26"/>
      <c r="I45" s="26"/>
      <c r="J45" s="26"/>
      <c r="K45" s="14">
        <v>500000</v>
      </c>
      <c r="L45" s="45"/>
      <c r="M45" s="25"/>
      <c r="N45" s="19"/>
    </row>
    <row r="46" spans="1:256" x14ac:dyDescent="0.35">
      <c r="A46" s="28"/>
      <c r="B46" s="12" t="s">
        <v>49</v>
      </c>
      <c r="C46" s="5"/>
      <c r="D46" s="3"/>
      <c r="E46" s="5"/>
      <c r="F46" s="5"/>
      <c r="G46" s="26"/>
      <c r="H46" s="26"/>
      <c r="I46" s="26"/>
      <c r="J46" s="26"/>
      <c r="K46" s="14">
        <v>150000</v>
      </c>
      <c r="L46" s="45"/>
      <c r="M46" s="25"/>
      <c r="N46" s="19"/>
    </row>
    <row r="47" spans="1:256" x14ac:dyDescent="0.35">
      <c r="A47" s="28"/>
      <c r="B47" s="12"/>
      <c r="C47" s="5"/>
      <c r="D47" s="3"/>
      <c r="E47" s="5"/>
      <c r="F47" s="5"/>
      <c r="G47" s="26"/>
      <c r="H47" s="26"/>
      <c r="I47" s="26"/>
      <c r="J47" s="26"/>
      <c r="L47" s="45"/>
      <c r="M47" s="25"/>
      <c r="N47" s="19"/>
    </row>
    <row r="48" spans="1:256" ht="17.25" thickBot="1" x14ac:dyDescent="0.4">
      <c r="A48" s="28"/>
      <c r="B48" s="25"/>
      <c r="C48" s="25"/>
      <c r="D48" s="26"/>
      <c r="E48" s="28" t="s">
        <v>12</v>
      </c>
      <c r="F48" s="26"/>
      <c r="G48" s="26"/>
      <c r="H48" s="26"/>
      <c r="I48" s="26"/>
      <c r="J48" s="26" t="s">
        <v>13</v>
      </c>
      <c r="K48" s="15">
        <f>SUM(K30:K46)</f>
        <v>4910000</v>
      </c>
      <c r="L48" s="45"/>
      <c r="M48" s="25"/>
      <c r="N48" s="19"/>
    </row>
    <row r="49" spans="1:256" ht="17.25" thickTop="1" x14ac:dyDescent="0.35">
      <c r="A49" s="68"/>
      <c r="B49" s="68"/>
      <c r="C49" s="68"/>
      <c r="D49" s="26"/>
      <c r="E49" s="28" t="s">
        <v>15</v>
      </c>
      <c r="F49" s="24"/>
      <c r="G49" s="24"/>
      <c r="H49" s="41"/>
      <c r="I49" s="41"/>
      <c r="J49" s="26"/>
      <c r="K49" s="31"/>
      <c r="L49" s="32"/>
      <c r="M49" s="25"/>
      <c r="N49" s="19"/>
    </row>
    <row r="50" spans="1:256" ht="17.25" thickBot="1" x14ac:dyDescent="0.4">
      <c r="A50" s="68"/>
      <c r="B50" s="68"/>
      <c r="C50" s="68"/>
      <c r="D50" s="26"/>
      <c r="E50" s="28" t="s">
        <v>14</v>
      </c>
      <c r="F50" s="24"/>
      <c r="G50" s="24"/>
      <c r="H50" s="41"/>
      <c r="I50" s="41"/>
      <c r="J50" s="26" t="s">
        <v>13</v>
      </c>
      <c r="K50" s="33">
        <f>SUM(K48,I27)</f>
        <v>5240000</v>
      </c>
      <c r="L50" s="47"/>
      <c r="M50" s="28"/>
      <c r="N50" s="21"/>
    </row>
    <row r="51" spans="1:256" ht="17.25" thickTop="1" x14ac:dyDescent="0.35">
      <c r="A51" s="68"/>
      <c r="B51" s="68"/>
      <c r="C51" s="68"/>
      <c r="D51" s="26"/>
      <c r="E51" s="28"/>
      <c r="F51" s="24"/>
      <c r="G51" s="24"/>
      <c r="H51" s="41"/>
      <c r="I51" s="41"/>
      <c r="J51" s="26"/>
      <c r="K51" s="28"/>
      <c r="L51" s="34"/>
      <c r="M51" s="28"/>
      <c r="N51" s="19"/>
    </row>
    <row r="52" spans="1:256" x14ac:dyDescent="0.35">
      <c r="A52" s="46" t="s">
        <v>21</v>
      </c>
      <c r="B52" s="46"/>
      <c r="C52" s="46"/>
      <c r="D52" s="26"/>
      <c r="E52" s="25"/>
      <c r="F52" s="26"/>
      <c r="G52" s="30" t="s">
        <v>22</v>
      </c>
      <c r="H52" s="30"/>
      <c r="I52" s="30"/>
      <c r="J52" s="26"/>
      <c r="K52" s="25"/>
      <c r="L52" s="26"/>
      <c r="M52" s="25"/>
      <c r="N52" s="19"/>
    </row>
    <row r="53" spans="1:256" x14ac:dyDescent="0.35">
      <c r="A53" s="68"/>
      <c r="B53" s="68"/>
      <c r="C53" s="68"/>
      <c r="D53" s="26"/>
      <c r="E53" s="25"/>
      <c r="F53" s="26"/>
      <c r="G53" s="26"/>
      <c r="H53" s="26"/>
      <c r="I53" s="26"/>
      <c r="J53" s="26"/>
      <c r="K53" s="25"/>
      <c r="L53" s="26"/>
      <c r="M53" s="25"/>
      <c r="N53" s="19"/>
    </row>
    <row r="54" spans="1:256" x14ac:dyDescent="0.35">
      <c r="A54" s="68"/>
      <c r="B54" s="68"/>
      <c r="C54" s="68"/>
      <c r="D54" s="26"/>
      <c r="E54" s="25"/>
      <c r="F54" s="26"/>
      <c r="G54" s="26"/>
      <c r="H54" s="26"/>
      <c r="I54" s="26"/>
      <c r="J54" s="26"/>
      <c r="K54" s="25"/>
      <c r="L54" s="26"/>
      <c r="M54" s="25"/>
      <c r="N54" s="19"/>
    </row>
    <row r="55" spans="1:256" x14ac:dyDescent="0.35">
      <c r="A55" s="68"/>
      <c r="B55" s="68"/>
      <c r="C55" s="68"/>
      <c r="D55" s="26"/>
      <c r="E55" s="25"/>
      <c r="F55" s="26"/>
      <c r="G55" s="26"/>
      <c r="H55" s="26"/>
      <c r="I55" s="26"/>
      <c r="J55" s="26"/>
      <c r="K55" s="25"/>
      <c r="L55" s="26"/>
      <c r="M55" s="25"/>
      <c r="N55" s="19"/>
    </row>
    <row r="56" spans="1:256" x14ac:dyDescent="0.35">
      <c r="A56" s="35" t="s">
        <v>23</v>
      </c>
      <c r="B56" s="35"/>
      <c r="C56" s="35"/>
      <c r="D56" s="26"/>
      <c r="E56" s="25"/>
      <c r="F56" s="26"/>
      <c r="G56" s="36" t="s">
        <v>24</v>
      </c>
      <c r="H56" s="36"/>
      <c r="I56" s="36"/>
      <c r="J56" s="26"/>
      <c r="K56" s="25"/>
      <c r="L56" s="26"/>
      <c r="M56" s="25"/>
      <c r="N56" s="19"/>
    </row>
    <row r="57" spans="1:256" x14ac:dyDescent="0.35">
      <c r="A57" s="46" t="s">
        <v>25</v>
      </c>
      <c r="B57" s="46"/>
      <c r="C57" s="46"/>
      <c r="D57" s="26"/>
      <c r="E57" s="25"/>
      <c r="F57" s="26"/>
      <c r="G57" s="37" t="s">
        <v>26</v>
      </c>
      <c r="H57" s="37"/>
      <c r="I57" s="37"/>
      <c r="J57" s="26"/>
      <c r="K57" s="25"/>
      <c r="L57" s="26"/>
      <c r="M57" s="25"/>
      <c r="N57" s="19"/>
    </row>
    <row r="58" spans="1:256" x14ac:dyDescent="0.35">
      <c r="A58" s="68"/>
      <c r="B58" s="68"/>
      <c r="C58" s="68"/>
      <c r="D58" s="26"/>
      <c r="E58" s="25"/>
      <c r="F58" s="26"/>
      <c r="G58" s="37"/>
      <c r="H58" s="37"/>
      <c r="I58" s="37"/>
      <c r="J58" s="26"/>
      <c r="K58" s="25"/>
      <c r="L58" s="26"/>
      <c r="M58" s="25"/>
      <c r="N58" s="19"/>
    </row>
    <row r="59" spans="1:256" x14ac:dyDescent="0.35">
      <c r="A59" s="68" t="s">
        <v>27</v>
      </c>
      <c r="B59" s="68"/>
      <c r="C59" s="68"/>
      <c r="D59" s="38" t="s">
        <v>1</v>
      </c>
      <c r="E59" s="25" t="s">
        <v>32</v>
      </c>
      <c r="F59" s="26"/>
      <c r="G59" s="37"/>
      <c r="H59" s="37"/>
      <c r="I59" s="37"/>
      <c r="J59" s="26"/>
      <c r="K59" s="25"/>
      <c r="L59" s="26"/>
      <c r="M59" s="25"/>
      <c r="N59" s="21"/>
      <c r="O59" s="13"/>
      <c r="P59" s="4"/>
      <c r="Q59" s="4"/>
      <c r="R59" s="4"/>
      <c r="S59" s="4"/>
      <c r="T59" s="4"/>
      <c r="U59" s="4"/>
      <c r="X59" s="11"/>
      <c r="Y59" s="11"/>
      <c r="Z59" s="11"/>
      <c r="AA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</row>
    <row r="60" spans="1:256" x14ac:dyDescent="0.35">
      <c r="A60" s="74" t="s">
        <v>28</v>
      </c>
      <c r="B60" s="74"/>
      <c r="C60" s="74"/>
      <c r="D60" s="38" t="s">
        <v>1</v>
      </c>
      <c r="E60" s="39" t="s">
        <v>33</v>
      </c>
      <c r="F60" s="38"/>
      <c r="G60" s="36"/>
      <c r="H60" s="36"/>
      <c r="I60" s="36"/>
      <c r="J60" s="38"/>
      <c r="K60" s="40"/>
      <c r="L60" s="26"/>
      <c r="M60" s="25"/>
      <c r="N60" s="19"/>
    </row>
    <row r="61" spans="1:256" x14ac:dyDescent="0.35">
      <c r="A61" s="74" t="s">
        <v>29</v>
      </c>
      <c r="B61" s="74"/>
      <c r="C61" s="74"/>
      <c r="D61" s="38" t="s">
        <v>1</v>
      </c>
      <c r="E61" s="39" t="s">
        <v>15</v>
      </c>
      <c r="F61" s="38"/>
      <c r="G61" s="36"/>
      <c r="H61" s="36"/>
      <c r="I61" s="36"/>
      <c r="J61" s="38"/>
      <c r="K61" s="40"/>
      <c r="L61" s="26"/>
      <c r="M61" s="25"/>
    </row>
    <row r="62" spans="1:256" x14ac:dyDescent="0.35">
      <c r="A62" s="68" t="s">
        <v>15</v>
      </c>
      <c r="B62" s="68"/>
      <c r="C62" s="68"/>
      <c r="D62" s="26" t="s">
        <v>15</v>
      </c>
      <c r="E62" s="25"/>
      <c r="F62" s="26"/>
      <c r="G62" s="26"/>
      <c r="H62" s="26"/>
      <c r="I62" s="26"/>
      <c r="J62" s="26"/>
      <c r="K62" s="27"/>
      <c r="L62" s="26"/>
      <c r="M62" s="25"/>
    </row>
  </sheetData>
  <mergeCells count="29">
    <mergeCell ref="A60:C60"/>
    <mergeCell ref="A61:C61"/>
    <mergeCell ref="A62:C62"/>
    <mergeCell ref="A54:C54"/>
    <mergeCell ref="A55:C55"/>
    <mergeCell ref="A58:C58"/>
    <mergeCell ref="A59:C59"/>
    <mergeCell ref="A51:C51"/>
    <mergeCell ref="A53:C53"/>
    <mergeCell ref="A49:C49"/>
    <mergeCell ref="A28:C28"/>
    <mergeCell ref="B29:C29"/>
    <mergeCell ref="M5:M6"/>
    <mergeCell ref="A7:L7"/>
    <mergeCell ref="A8:L8"/>
    <mergeCell ref="A10:C10"/>
    <mergeCell ref="A50:C50"/>
    <mergeCell ref="A11:C11"/>
    <mergeCell ref="A12:C12"/>
    <mergeCell ref="A13:C13"/>
    <mergeCell ref="A6:L6"/>
    <mergeCell ref="A14:C14"/>
    <mergeCell ref="A15:C15"/>
    <mergeCell ref="E10:L10"/>
    <mergeCell ref="A2:L2"/>
    <mergeCell ref="A3:C3"/>
    <mergeCell ref="F3:G3"/>
    <mergeCell ref="A4:L4"/>
    <mergeCell ref="A5:L5"/>
  </mergeCells>
  <conditionalFormatting sqref="AA19:AA21">
    <cfRule type="cellIs" dxfId="5" priority="7" stopIfTrue="1" operator="lessThan">
      <formula>#REF!</formula>
    </cfRule>
    <cfRule type="cellIs" dxfId="4" priority="8" stopIfTrue="1" operator="greaterThan">
      <formula>#REF!</formula>
    </cfRule>
  </conditionalFormatting>
  <conditionalFormatting sqref="Z22:AA24">
    <cfRule type="cellIs" dxfId="3" priority="3" stopIfTrue="1" operator="lessThan">
      <formula>#REF!</formula>
    </cfRule>
    <cfRule type="cellIs" dxfId="2" priority="4" stopIfTrue="1" operator="greaterThan">
      <formula>#REF!</formula>
    </cfRule>
  </conditionalFormatting>
  <conditionalFormatting sqref="Z25:AA26">
    <cfRule type="cellIs" dxfId="1" priority="1" stopIfTrue="1" operator="lessThan">
      <formula>#REF!</formula>
    </cfRule>
    <cfRule type="cellIs" dxfId="0" priority="2" stopIfTrue="1" operator="greaterThan">
      <formula>#REF!</formula>
    </cfRule>
  </conditionalFormatting>
  <pageMargins left="0.7" right="0.7" top="0.75" bottom="0.75" header="0.3" footer="0.3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2021-05-17T08:21:47Z</cp:lastPrinted>
  <dcterms:created xsi:type="dcterms:W3CDTF">2021-03-18T03:09:28Z</dcterms:created>
  <dcterms:modified xsi:type="dcterms:W3CDTF">2021-05-17T08:23:38Z</dcterms:modified>
</cp:coreProperties>
</file>